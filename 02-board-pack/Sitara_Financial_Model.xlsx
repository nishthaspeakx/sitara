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cing" sheetId="2" state="visible" r:id="rId4"/>
    <sheet name="Customer Growth" sheetId="3" state="visible" r:id="rId5"/>
    <sheet name="Funnel" sheetId="4" state="visible" r:id="rId6"/>
    <sheet name="Revenue" sheetId="5" state="visible" r:id="rId7"/>
    <sheet name="Cost of Revenue" sheetId="6" state="visible" r:id="rId8"/>
    <sheet name="Headcount" sheetId="7" state="visible" r:id="rId9"/>
    <sheet name="Marketing" sheetId="8" state="visible" r:id="rId10"/>
    <sheet name="Operating Expenses" sheetId="9" state="visible" r:id="rId11"/>
    <sheet name="P&amp;L" sheetId="10" state="visible" r:id="rId12"/>
    <sheet name="Cash Flow" sheetId="11" state="visible" r:id="rId13"/>
    <sheet name="Unit Economics" sheetId="12" state="visible" r:id="rId14"/>
    <sheet name="Scenarios" sheetId="13" state="visible" r:id="rId15"/>
    <sheet name="Sensitivity" sheetId="14" state="visible" r:id="rId16"/>
    <sheet name="Idea Comparison" sheetId="15" state="visible" r:id="rId17"/>
    <sheet name="Investment Returns" sheetId="16" state="visible" r:id="rId18"/>
    <sheet name="Dashboard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<sst xmlns="http://schemas.openxmlformats.org/spreadsheetml/2006/main" count="563" uniqueCount="475">
  <si>
    <t xml:space="preserve">PROJECT SITARA - MODEL ASSUMPTIONS (blue = editable; yellow = highest-impact levers)</t>
  </si>
  <si>
    <t xml:space="preserve">Label</t>
  </si>
  <si>
    <t xml:space="preserve">Value</t>
  </si>
  <si>
    <t xml:space="preserve">Unit</t>
  </si>
  <si>
    <t xml:space="preserve">Type</t>
  </si>
  <si>
    <t xml:space="preserve">Source / logic</t>
  </si>
  <si>
    <t xml:space="preserve">FX rate (INR per USD)</t>
  </si>
  <si>
    <t xml:space="preserve">Rs/$</t>
  </si>
  <si>
    <t xml:space="preserve">Assumption</t>
  </si>
  <si>
    <t xml:space="preserve">Management estimate, Jul-2026</t>
  </si>
  <si>
    <t xml:space="preserve">GST rate (India plans)</t>
  </si>
  <si>
    <t xml:space="preserve">%</t>
  </si>
  <si>
    <t xml:space="preserve">Fact</t>
  </si>
  <si>
    <t xml:space="preserve">India prices GST-inclusive; revenue modelled net of GST; NRI = zero-rated export</t>
  </si>
  <si>
    <t xml:space="preserve">Blended net subscription ARPU (Rs/mo)</t>
  </si>
  <si>
    <t xml:space="preserve">Rs/mo</t>
  </si>
  <si>
    <t xml:space="preserve">Mgmt estimate</t>
  </si>
  <si>
    <t xml:space="preserve">Derived on Pricing sheet from plan mix; net of GST</t>
  </si>
  <si>
    <t xml:space="preserve">Add-on ARPU (consult minutes, reports) (Rs/mo)</t>
  </si>
  <si>
    <t xml:space="preserve">~8% attach; benchmark: AstroTalk session spend Rs500-1500 (Entrackr FY24)</t>
  </si>
  <si>
    <t xml:space="preserve">Monthly churn - base</t>
  </si>
  <si>
    <t xml:space="preserve">%/mo</t>
  </si>
  <si>
    <t xml:space="preserve">Benchmark+assumption</t>
  </si>
  <si>
    <t xml:space="preserve">Recurly DTC benchmark 6.5%/mo; annual-mix damping; VALIDATION TARGET</t>
  </si>
  <si>
    <t xml:space="preserve">Monthly churn - conservative</t>
  </si>
  <si>
    <t xml:space="preserve">Scenario</t>
  </si>
  <si>
    <t xml:space="preserve">+25% stress</t>
  </si>
  <si>
    <t xml:space="preserve">Monthly churn - aggressive</t>
  </si>
  <si>
    <t xml:space="preserve">Only if cohorts prove it</t>
  </si>
  <si>
    <t xml:space="preserve">Blended CAC - base (Rs)</t>
  </si>
  <si>
    <t xml:space="preserve">Rs</t>
  </si>
  <si>
    <t xml:space="preserve">AstroTalk domestic Rs575-870 (Entrackr); NRI premium assumed 4-5x</t>
  </si>
  <si>
    <t xml:space="preserve">CAC - conservative (Rs)</t>
  </si>
  <si>
    <t xml:space="preserve">CAC - aggressive (Rs)</t>
  </si>
  <si>
    <t xml:space="preserve">Referral/organic mix matures</t>
  </si>
  <si>
    <t xml:space="preserve">Referral share of new customers</t>
  </si>
  <si>
    <t xml:space="preserve">Family-chart gifting loop</t>
  </si>
  <si>
    <t xml:space="preserve">Refund rate (% of gross revenue)</t>
  </si>
  <si>
    <t xml:space="preserve">30-day money-back guarantee</t>
  </si>
  <si>
    <t xml:space="preserve">AI inference cost / user / mo (Rs)</t>
  </si>
  <si>
    <t xml:space="preserve">LLM API + ephemeris compute, Jul-2026 rates</t>
  </si>
  <si>
    <t xml:space="preserve">Human consult-min cost / user / mo (Rs)</t>
  </si>
  <si>
    <t xml:space="preserve">Premium-tier allowance blended over all users</t>
  </si>
  <si>
    <t xml:space="preserve">Support cost / user / mo (Rs)</t>
  </si>
  <si>
    <t xml:space="preserve">~1 agent per 5,000 subscribers</t>
  </si>
  <si>
    <t xml:space="preserve">Payment gateway (% of gross revenue)</t>
  </si>
  <si>
    <t xml:space="preserve">Stripe / Razorpay published pricing</t>
  </si>
  <si>
    <t xml:space="preserve">Infra / storage / user / mo (Rs)</t>
  </si>
  <si>
    <t xml:space="preserve">Cloud, security, analytics</t>
  </si>
  <si>
    <t xml:space="preserve">Annual-plan share of subscribers</t>
  </si>
  <si>
    <t xml:space="preserve">Annual-first pricing strategy</t>
  </si>
  <si>
    <t xml:space="preserve">Premium-tier share of subscribers</t>
  </si>
  <si>
    <t xml:space="preserve">Pricing sheet mix</t>
  </si>
  <si>
    <t xml:space="preserve">Founding-member adds (one-time, month 4)</t>
  </si>
  <si>
    <t xml:space="preserve">count</t>
  </si>
  <si>
    <t xml:space="preserve">Plan</t>
  </si>
  <si>
    <t xml:space="preserve">Launch cohort beyond paid funnel</t>
  </si>
  <si>
    <t xml:space="preserve">Churn improvement per month from M13 (pts)</t>
  </si>
  <si>
    <t xml:space="preserve">pts</t>
  </si>
  <si>
    <t xml:space="preserve">Cohort mix shifts annual over time</t>
  </si>
  <si>
    <t xml:space="preserve">Churn floor - base (%/mo)</t>
  </si>
  <si>
    <t xml:space="preserve">Best-case mature churn, base case</t>
  </si>
  <si>
    <t xml:space="preserve">All downstream sheets recalculate from this sheet. Every figure in the board decks traces here.</t>
  </si>
  <si>
    <t xml:space="preserve">PRICING ARCHITECTURE (effective monthly ARPU, net of GST)</t>
  </si>
  <si>
    <t xml:space="preserve">Customer</t>
  </si>
  <si>
    <t xml:space="preserve">Monthly</t>
  </si>
  <si>
    <t xml:space="preserve">Annual</t>
  </si>
  <si>
    <t xml:space="preserve">Mix %</t>
  </si>
  <si>
    <t xml:space="preserve">Gross eff Rs/mo</t>
  </si>
  <si>
    <t xml:space="preserve">GST factor</t>
  </si>
  <si>
    <t xml:space="preserve">Net eff Rs/mo</t>
  </si>
  <si>
    <t xml:space="preserve">Weighted Rs/mo</t>
  </si>
  <si>
    <t xml:space="preserve">NRI Standard</t>
  </si>
  <si>
    <t xml:space="preserve">NRI individual (US/UK/CA/Gulf)</t>
  </si>
  <si>
    <t xml:space="preserve">$12.99</t>
  </si>
  <si>
    <t xml:space="preserve">$99</t>
  </si>
  <si>
    <t xml:space="preserve">NRI Premium</t>
  </si>
  <si>
    <t xml:space="preserve">NRI premium; 30 consult-min/qtr</t>
  </si>
  <si>
    <t xml:space="preserve">$24.99</t>
  </si>
  <si>
    <t xml:space="preserve">$199</t>
  </si>
  <si>
    <t xml:space="preserve">India Aarambh</t>
  </si>
  <si>
    <t xml:space="preserve">Metro India individual</t>
  </si>
  <si>
    <t xml:space="preserve">Rs499</t>
  </si>
  <si>
    <t xml:space="preserve">Rs3,999</t>
  </si>
  <si>
    <t xml:space="preserve">India Pragati</t>
  </si>
  <si>
    <t xml:space="preserve">Metro India premium; 15 min/qtr</t>
  </si>
  <si>
    <t xml:space="preserve">Rs999</t>
  </si>
  <si>
    <t xml:space="preserve">Rs7,999</t>
  </si>
  <si>
    <t xml:space="preserve">Blended net subscription ARPU (Rs/mo) - computed</t>
  </si>
  <si>
    <t xml:space="preserve">Value used by model (Assumptions!B6) - keep aligned:</t>
  </si>
  <si>
    <t xml:space="preserve">Assumes 60% of subscribers on annual billing (40% monthly). Mix percentages are management estimates.</t>
  </si>
  <si>
    <t xml:space="preserve">CUSTOMER GROWTH - 36 MONTHS, BASE CASE (opening + new - churned = closing)</t>
  </si>
  <si>
    <t xml:space="preserve">Month</t>
  </si>
  <si>
    <t xml:space="preserve">Marketing Rs</t>
  </si>
  <si>
    <t xml:space="preserve">CAC Rs</t>
  </si>
  <si>
    <t xml:space="preserve">New (funnel)</t>
  </si>
  <si>
    <t xml:space="preserve">Referrals</t>
  </si>
  <si>
    <t xml:space="preserve">Founding</t>
  </si>
  <si>
    <t xml:space="preserve">Total new</t>
  </si>
  <si>
    <t xml:space="preserve">Opening</t>
  </si>
  <si>
    <t xml:space="preserve">Churn rate</t>
  </si>
  <si>
    <t xml:space="preserve">Churned</t>
  </si>
  <si>
    <t xml:space="preserve">Closing</t>
  </si>
  <si>
    <t xml:space="preserve">Annual subs</t>
  </si>
  <si>
    <t xml:space="preserve">Premium subs</t>
  </si>
  <si>
    <t xml:space="preserve">Milestones:</t>
  </si>
  <si>
    <t xml:space="preserve">M6</t>
  </si>
  <si>
    <t xml:space="preserve">M12</t>
  </si>
  <si>
    <t xml:space="preserve">M24</t>
  </si>
  <si>
    <t xml:space="preserve">M36</t>
  </si>
  <si>
    <t xml:space="preserve">ACQUISITION FUNNEL - representative steady month (M12)</t>
  </si>
  <si>
    <t xml:space="preserve">Stage</t>
  </si>
  <si>
    <t xml:space="preserve">Conversion</t>
  </si>
  <si>
    <t xml:space="preserve">Volume /mo</t>
  </si>
  <si>
    <t xml:space="preserve">Cost Rs</t>
  </si>
  <si>
    <t xml:space="preserve">Logic (type)</t>
  </si>
  <si>
    <t xml:space="preserve">Ad impressions</t>
  </si>
  <si>
    <t xml:space="preserve">-</t>
  </si>
  <si>
    <t xml:space="preserve">Implied at 8% impression-to-visit x CTR mix (assumption)</t>
  </si>
  <si>
    <t xml:space="preserve">Site visitors</t>
  </si>
  <si>
    <t xml:space="preserve">Visitor-to-trial 3% (management estimate)</t>
  </si>
  <si>
    <t xml:space="preserve">Trials / Honest-Kundli signups</t>
  </si>
  <si>
    <t xml:space="preserve">3.0% of visitors</t>
  </si>
  <si>
    <t xml:space="preserve">Trial-to-paid 25% (management estimate)</t>
  </si>
  <si>
    <t xml:space="preserve">New paid customers</t>
  </si>
  <si>
    <t xml:space="preserve">25% of trials</t>
  </si>
  <si>
    <t xml:space="preserve">Funnel spend M12</t>
  </si>
  <si>
    <t xml:space="preserve">Referral additions</t>
  </si>
  <si>
    <t xml:space="preserve">12% of funnel</t>
  </si>
  <si>
    <t xml:space="preserve">Family-chart gift loop (assumption)</t>
  </si>
  <si>
    <t xml:space="preserve">Effective blended CAC</t>
  </si>
  <si>
    <t xml:space="preserve">Marketing / all new</t>
  </si>
  <si>
    <t xml:space="preserve">Funnel rates are management estimates until replaced by Gate-1 cohort actuals.</t>
  </si>
  <si>
    <t xml:space="preserve">REVENUE - 36 MONTHS (Rs, recognised monthly, net of GST)</t>
  </si>
  <si>
    <t xml:space="preserve">Avg subscribers</t>
  </si>
  <si>
    <t xml:space="preserve">Subscription rev</t>
  </si>
  <si>
    <t xml:space="preserve">Add-on rev</t>
  </si>
  <si>
    <t xml:space="preserve">Gross rev</t>
  </si>
  <si>
    <t xml:space="preserve">Refunds</t>
  </si>
  <si>
    <t xml:space="preserve">Net revenue</t>
  </si>
  <si>
    <t xml:space="preserve">Deferred-cash memo</t>
  </si>
  <si>
    <t xml:space="preserve">Year totals:</t>
  </si>
  <si>
    <t xml:space="preserve">Y1</t>
  </si>
  <si>
    <t xml:space="preserve">Y2</t>
  </si>
  <si>
    <t xml:space="preserve">Y3</t>
  </si>
  <si>
    <t xml:space="preserve">Deferred-cash memo: annual plans collect ~5.5 months of revenue ahead of recognition on average.</t>
  </si>
  <si>
    <t xml:space="preserve">COST OF REVENUE - 36 MONTHS (Rs)</t>
  </si>
  <si>
    <t xml:space="preserve">AI cost</t>
  </si>
  <si>
    <t xml:space="preserve">Human minutes</t>
  </si>
  <si>
    <t xml:space="preserve">Support</t>
  </si>
  <si>
    <t xml:space="preserve">Infra</t>
  </si>
  <si>
    <t xml:space="preserve">Payment fees</t>
  </si>
  <si>
    <t xml:space="preserve">Total COGS</t>
  </si>
  <si>
    <t xml:space="preserve">Gross profit</t>
  </si>
  <si>
    <t xml:space="preserve">GM %</t>
  </si>
  <si>
    <t xml:space="preserve">Y totals GP:</t>
  </si>
  <si>
    <t xml:space="preserve">HEADCOUNT PLAN (fully-loaded monthly cost, Rs)</t>
  </si>
  <si>
    <t xml:space="preserve">Role</t>
  </si>
  <si>
    <t xml:space="preserve">Phase A (M1-6)</t>
  </si>
  <si>
    <t xml:space="preserve">Phase B (M7-18)</t>
  </si>
  <si>
    <t xml:space="preserve">Phase C (M19-36)</t>
  </si>
  <si>
    <t xml:space="preserve">Monthly cost Rs</t>
  </si>
  <si>
    <t xml:space="preserve">Notes</t>
  </si>
  <si>
    <t xml:space="preserve">Founder/CEO</t>
  </si>
  <si>
    <t xml:space="preserve">Below-market; corrected at Series A</t>
  </si>
  <si>
    <t xml:space="preserve">Founding engineers</t>
  </si>
  <si>
    <t xml:space="preserve">Per-engineer avg Rs3.0L loaded</t>
  </si>
  <si>
    <t xml:space="preserve">Jyotish lead (part-time then full)</t>
  </si>
  <si>
    <t xml:space="preserve">Credibility-critical hire</t>
  </si>
  <si>
    <t xml:space="preserve">Designer (contract)</t>
  </si>
  <si>
    <t xml:space="preserve">Growth/marketing</t>
  </si>
  <si>
    <t xml:space="preserve">Content/community</t>
  </si>
  <si>
    <t xml:space="preserve">Astrologer-panel ops</t>
  </si>
  <si>
    <t xml:space="preserve">Finance/admin (fractional)</t>
  </si>
  <si>
    <t xml:space="preserve">Monthly salary bill</t>
  </si>
  <si>
    <t xml:space="preserve">Headcount (FTE)</t>
  </si>
  <si>
    <t xml:space="preserve">MARKETING - CHANNEL CAC AND SPEND</t>
  </si>
  <si>
    <t xml:space="preserve">Channel</t>
  </si>
  <si>
    <t xml:space="preserve">Spend share</t>
  </si>
  <si>
    <t xml:space="preserve">Weighted CAC</t>
  </si>
  <si>
    <t xml:space="preserve">Meta (IG/FB) diaspora</t>
  </si>
  <si>
    <t xml:space="preserve">Benchmark-derived</t>
  </si>
  <si>
    <t xml:space="preserve">Google search intent</t>
  </si>
  <si>
    <t xml:space="preserve">Micro-influencer astrologers</t>
  </si>
  <si>
    <t xml:space="preserve">Community/organic (Reddit, SEO)</t>
  </si>
  <si>
    <t xml:space="preserve">Referral (family-chart gift)</t>
  </si>
  <si>
    <t xml:space="preserve">Cost of incentive</t>
  </si>
  <si>
    <t xml:space="preserve">Festival campaigns</t>
  </si>
  <si>
    <t xml:space="preserve">Blended CAC (check vs Assumptions!B11)</t>
  </si>
  <si>
    <t xml:space="preserve">Monthly marketing spend schedule lives in 'Customer Growth' column B (editable).</t>
  </si>
  <si>
    <t xml:space="preserve">Benchmark: AstroTalk domestic CAC Rs575-870, 6-8 month recovery (Entrackr/growthx FY24-25).</t>
  </si>
  <si>
    <t xml:space="preserve">OPERATING EXPENSES + MONTHLY EBITDA ENGINE (Rs)</t>
  </si>
  <si>
    <t xml:space="preserve">Salaries</t>
  </si>
  <si>
    <t xml:space="preserve">Marketing</t>
  </si>
  <si>
    <t xml:space="preserve">Tech/software</t>
  </si>
  <si>
    <t xml:space="preserve">G&amp;A/legal/office</t>
  </si>
  <si>
    <t xml:space="preserve">Other/contingency</t>
  </si>
  <si>
    <t xml:space="preserve">Total opex</t>
  </si>
  <si>
    <t xml:space="preserve">EBITDA</t>
  </si>
  <si>
    <t xml:space="preserve">Y totals EBITDA:</t>
  </si>
  <si>
    <t xml:space="preserve">Tech/G&amp;A steps are management estimates. Contingency 5% of non-marketing opex.</t>
  </si>
  <si>
    <t xml:space="preserve">P&amp;L - MONTHLY YEAR 1, ANNUAL Y1-Y3 (Rs)</t>
  </si>
  <si>
    <t xml:space="preserve">Line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</si>
  <si>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</si>
  <si>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</si>
  <si>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</si>
  <si>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</si>
  <si>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</si>
  <si>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</si>
  <si>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</si>
  <si>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</si>
  <si>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</si>
  <si>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</si>
  <si>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Year 1</t>
  </si>
  <si>
    <t xml:space="preserve">Year 2</t>
  </si>
  <si>
    <t xml:space="preserve">Year 3</t>
  </si>
  <si>
    <t xml:space="preserve">Subscription revenue</t>
  </si>
  <si>
    <t xml:space="preserve">Add-on revenue</t>
  </si>
  <si>
    <t xml:space="preserve">AI + infra cost</t>
  </si>
  <si>
    <t xml:space="preserve">Human review / consult cost</t>
  </si>
  <si>
    <t xml:space="preserve">Support cost</t>
  </si>
  <si>
    <t xml:space="preserve">Tech / software</t>
  </si>
  <si>
    <t xml:space="preserve">G&amp;A / legal</t>
  </si>
  <si>
    <t xml:space="preserve">Contingency</t>
  </si>
  <si>
    <t xml:space="preserve">Depreciation</t>
  </si>
  <si>
    <t xml:space="preserve">EBIT</t>
  </si>
  <si>
    <t xml:space="preserve">Tax (nil until carry-forwards absorbed)</t>
  </si>
  <si>
    <t xml:space="preserve">Net profit</t>
  </si>
  <si>
    <t xml:space="preserve">GM % (Y1/Y2/Y3):</t>
  </si>
  <si>
    <t xml:space="preserve">Note: Y3 tax formula assumes 25% on profit above accumulated losses of ~Rs45L absorbed; simplification flagged.</t>
  </si>
  <si>
    <t xml:space="preserve">CASH FLOW - 36 MONTHS (Rs)</t>
  </si>
  <si>
    <t xml:space="preserve">Opening cash</t>
  </si>
  <si>
    <t xml:space="preserve">Investment in</t>
  </si>
  <si>
    <t xml:space="preserve">Deferred-cash delta</t>
  </si>
  <si>
    <t xml:space="preserve">Capex</t>
  </si>
  <si>
    <t xml:space="preserve">Closing cash</t>
  </si>
  <si>
    <t xml:space="preserve">Tranches: Rs1.25Cr at M1 (Scenario A: validate + build v1), Rs3.3Cr at M7 (Scenario B: launch), Rs3.3Cr at M19 (Scenario C: scale).</t>
  </si>
  <si>
    <t xml:space="preserve">Minimum-cash policy Rs40L; deferred-cash delta = annual-plan cash collected ahead of recognition.</t>
  </si>
  <si>
    <t xml:space="preserve">Minimum closing cash:</t>
  </si>
  <si>
    <t xml:space="preserve">Peak cumulative funding:</t>
  </si>
  <si>
    <t xml:space="preserve">UNIT ECONOMICS PER CUSTOMER (Rs / month, base case)</t>
  </si>
  <si>
    <t xml:space="preserve">Total ARPU (subs + add-on)</t>
  </si>
  <si>
    <t xml:space="preserve">Contribution / user / month</t>
  </si>
  <si>
    <t xml:space="preserve">Contribution margin %</t>
  </si>
  <si>
    <t xml:space="preserve">Expected customer life (months)</t>
  </si>
  <si>
    <t xml:space="preserve">LTV (contribution x life)</t>
  </si>
  <si>
    <t xml:space="preserve">CAC</t>
  </si>
  <si>
    <t xml:space="preserve">LTV : CAC</t>
  </si>
  <si>
    <t xml:space="preserve">CAC payback (months)</t>
  </si>
  <si>
    <t xml:space="preserve">Plan-level contribution (Rs/mo):</t>
  </si>
  <si>
    <t xml:space="preserve">Net ARPU</t>
  </si>
  <si>
    <t xml:space="preserve">Var. cost</t>
  </si>
  <si>
    <t xml:space="preserve">Contribution</t>
  </si>
  <si>
    <t xml:space="preserve">Margin</t>
  </si>
  <si>
    <t xml:space="preserve">SCENARIOS - closed-form 36-month recursion per scenario</t>
  </si>
  <si>
    <t xml:space="preserve">Param</t>
  </si>
  <si>
    <t xml:space="preserve">Conservative</t>
  </si>
  <si>
    <t xml:space="preserve">Base</t>
  </si>
  <si>
    <t xml:space="preserve">Aggressive</t>
  </si>
  <si>
    <t xml:space="preserve">Monthly churn</t>
  </si>
  <si>
    <t xml:space="preserve">CAC (Rs)</t>
  </si>
  <si>
    <t xml:space="preserve">Marketing multiplier</t>
  </si>
  <si>
    <t xml:space="preserve">ARPU multiplier</t>
  </si>
  <si>
    <t xml:space="preserve">Cons new</t>
  </si>
  <si>
    <t xml:space="preserve">Cons closing</t>
  </si>
  <si>
    <t xml:space="preserve">Base new</t>
  </si>
  <si>
    <t xml:space="preserve">Base closing</t>
  </si>
  <si>
    <t xml:space="preserve">Aggr new</t>
  </si>
  <si>
    <t xml:space="preserve">Aggr closing</t>
  </si>
  <si>
    <t xml:space="preserve">Output</t>
  </si>
  <si>
    <t xml:space="preserve">M36 customers</t>
  </si>
  <si>
    <t xml:space="preserve">Y3 revenue (Rs)</t>
  </si>
  <si>
    <t xml:space="preserve">Y3 EBITDA approx (Rs)</t>
  </si>
  <si>
    <t xml:space="preserve">Conservative/aggressive P&amp;L lines are closed-form approximations; base case ties to full engine.</t>
  </si>
  <si>
    <t xml:space="preserve">SENSITIVITY - single-variable stresses vs base (equilibrium approximations)</t>
  </si>
  <si>
    <t xml:space="preserve">Stress</t>
  </si>
  <si>
    <t xml:space="preserve">Metric affected</t>
  </si>
  <si>
    <t xml:space="preserve">Base value</t>
  </si>
  <si>
    <t xml:space="preserve">Stressed value</t>
  </si>
  <si>
    <t xml:space="preserve">Impact</t>
  </si>
  <si>
    <t xml:space="preserve">Churn +25% (6.0% to 7.5%)</t>
  </si>
  <si>
    <t xml:space="preserve">CAC +25% (Rs3,600 to 4,500)</t>
  </si>
  <si>
    <t xml:space="preserve">Conversion -25%</t>
  </si>
  <si>
    <t xml:space="preserve">New customers / month</t>
  </si>
  <si>
    <t xml:space="preserve">ARPU -15%</t>
  </si>
  <si>
    <t xml:space="preserve">AI cost x2</t>
  </si>
  <si>
    <t xml:space="preserve">Gross margin %</t>
  </si>
  <si>
    <t xml:space="preserve">Growth delayed 6 months</t>
  </si>
  <si>
    <t xml:space="preserve">Peak funding need (Rs)</t>
  </si>
  <si>
    <t xml:space="preserve">Annual mix 40% (vs 60%)</t>
  </si>
  <si>
    <t xml:space="preserve">Deferred-cash benefit (Rs)</t>
  </si>
  <si>
    <t xml:space="preserve">Refunds x2 (5%)</t>
  </si>
  <si>
    <t xml:space="preserve">Y3 net revenue (Rs)</t>
  </si>
  <si>
    <t xml:space="preserve">TOP-3 PROFIT DRIVERS: (1) monthly churn, (2) ARPU/plan mix, (3) CAC - exactly what Gate-1 validation measures.</t>
  </si>
  <si>
    <t xml:space="preserve">Stressed values are closed-form approximations, not full re-runs; conservative scenario combines the first two.</t>
  </si>
  <si>
    <t xml:space="preserve">IDEA-WISE HIGH-LEVEL FINANCIALS (ranges; same assumption bases where fair)</t>
  </si>
  <si>
    <t xml:space="preserve">Metric</t>
  </si>
  <si>
    <t xml:space="preserve">Sitara (winner)</t>
  </si>
  <si>
    <t xml:space="preserve">Sahay (#2)</t>
  </si>
  <si>
    <t xml:space="preserve">KalaOS (#3)</t>
  </si>
  <si>
    <t xml:space="preserve">DharmaSetu (#4)</t>
  </si>
  <si>
    <t xml:space="preserve">Smriti (#5)</t>
  </si>
  <si>
    <t xml:space="preserve">MVP investment (Rs L)</t>
  </si>
  <si>
    <t xml:space="preserve">60-100</t>
  </si>
  <si>
    <t xml:space="preserve">80-130</t>
  </si>
  <si>
    <t xml:space="preserve">50-90</t>
  </si>
  <si>
    <t xml:space="preserve">60-90</t>
  </si>
  <si>
    <t xml:space="preserve">Full launch investment (Rs Cr)</t>
  </si>
  <si>
    <t xml:space="preserve">3.5</t>
  </si>
  <si>
    <t xml:space="preserve">5.5-7</t>
  </si>
  <si>
    <t xml:space="preserve">2.5-3.5</t>
  </si>
  <si>
    <t xml:space="preserve">3-4</t>
  </si>
  <si>
    <t xml:space="preserve">3-4.5</t>
  </si>
  <si>
    <t xml:space="preserve">Price point</t>
  </si>
  <si>
    <t xml:space="preserve">Rs499-999 / $13-25 mo</t>
  </si>
  <si>
    <t xml:space="preserve">$49-299 mo</t>
  </si>
  <si>
    <t xml:space="preserve">Rs2,000-10,000 mo</t>
  </si>
  <si>
    <t xml:space="preserve">$10-17 mo + events</t>
  </si>
  <si>
    <t xml:space="preserve">$9-17 mo</t>
  </si>
  <si>
    <t xml:space="preserve">72-78%</t>
  </si>
  <si>
    <t xml:space="preserve">40-65% by tier</t>
  </si>
  <si>
    <t xml:space="preserve">65-72%</t>
  </si>
  <si>
    <t xml:space="preserve">55-70% blended</t>
  </si>
  <si>
    <t xml:space="preserve">50-65% (print)</t>
  </si>
  <si>
    <t xml:space="preserve">Blended CAC (Rs)</t>
  </si>
  <si>
    <t xml:space="preserve">3,000-4,500</t>
  </si>
  <si>
    <t xml:space="preserve">8,000-12,000</t>
  </si>
  <si>
    <t xml:space="preserve">8,000-15,000 (B2B)</t>
  </si>
  <si>
    <t xml:space="preserve">4,000-6,000</t>
  </si>
  <si>
    <t xml:space="preserve">2,500-4,000</t>
  </si>
  <si>
    <t xml:space="preserve">5-7.5%</t>
  </si>
  <si>
    <t xml:space="preserve">2.5-4% + life events</t>
  </si>
  <si>
    <t xml:space="preserve">2.5-3.5% logo</t>
  </si>
  <si>
    <t xml:space="preserve">3-5% (annual-shaped)</t>
  </si>
  <si>
    <t xml:space="preserve">3.5-5% + aging-out</t>
  </si>
  <si>
    <t xml:space="preserve">Break-even customers</t>
  </si>
  <si>
    <t xml:space="preserve">~7,500-8,500</t>
  </si>
  <si>
    <t xml:space="preserve">~3,500-4,500</t>
  </si>
  <si>
    <t xml:space="preserve">~1,600-2,000 studios</t>
  </si>
  <si>
    <t xml:space="preserve">~9,000-11,000 members</t>
  </si>
  <si>
    <t xml:space="preserve">~11,000-14,000</t>
  </si>
  <si>
    <t xml:space="preserve">Break-even month (base)</t>
  </si>
  <si>
    <t xml:space="preserve">~M27</t>
  </si>
  <si>
    <t xml:space="preserve">~M30-34</t>
  </si>
  <si>
    <t xml:space="preserve">~M22-26</t>
  </si>
  <si>
    <t xml:space="preserve">~M28-34</t>
  </si>
  <si>
    <t xml:space="preserve">~M30-36</t>
  </si>
  <si>
    <t xml:space="preserve">Y1 revenue (Rs Cr)</t>
  </si>
  <si>
    <t xml:space="preserve">1.3-1.8</t>
  </si>
  <si>
    <t xml:space="preserve">1.5-2.5</t>
  </si>
  <si>
    <t xml:space="preserve">0.8-1.4</t>
  </si>
  <si>
    <t xml:space="preserve">0.9-1.6</t>
  </si>
  <si>
    <t xml:space="preserve">0.7-1.2</t>
  </si>
  <si>
    <t xml:space="preserve">Y3 revenue (Rs Cr)</t>
  </si>
  <si>
    <t xml:space="preserve">11-17</t>
  </si>
  <si>
    <t xml:space="preserve">16-22</t>
  </si>
  <si>
    <t xml:space="preserve">9-12</t>
  </si>
  <si>
    <t xml:space="preserve">7-11</t>
  </si>
  <si>
    <t xml:space="preserve">6-10</t>
  </si>
  <si>
    <t xml:space="preserve">Y3 EBITDA (Rs Cr)</t>
  </si>
  <si>
    <t xml:space="preserve">0.8-1.8</t>
  </si>
  <si>
    <t xml:space="preserve">(1)-1.5</t>
  </si>
  <si>
    <t xml:space="preserve">1.2-2.2</t>
  </si>
  <si>
    <t xml:space="preserve">0.3-1.2</t>
  </si>
  <si>
    <t xml:space="preserve">(0.5)-0.8</t>
  </si>
  <si>
    <t xml:space="preserve">3-yr cash need (Rs Cr)</t>
  </si>
  <si>
    <t xml:space="preserve">6-7</t>
  </si>
  <si>
    <t xml:space="preserve">4-5</t>
  </si>
  <si>
    <t xml:space="preserve">5-7</t>
  </si>
  <si>
    <t xml:space="preserve">5.5-7.5</t>
  </si>
  <si>
    <t xml:space="preserve">Risk-adjusted score /10</t>
  </si>
  <si>
    <t xml:space="preserve">8.1</t>
  </si>
  <si>
    <t xml:space="preserve">8.0</t>
  </si>
  <si>
    <t xml:space="preserve">7.6</t>
  </si>
  <si>
    <t xml:space="preserve">7.4</t>
  </si>
  <si>
    <t xml:space="preserve">7.1</t>
  </si>
  <si>
    <t xml:space="preserve">Ranges reflect low confidence bounds; no false precision. Sahay/KalaOS/DharmaSetu/Smriti models are top-down</t>
  </si>
  <si>
    <t xml:space="preserve">scaled from the same ARPU/churn/CAC logic; Sitara ties to the full bottom-up engine.</t>
  </si>
  <si>
    <t xml:space="preserve">RETURNS BY INVESTMENT LEVEL (management estimates; capital does NOT buy retention)</t>
  </si>
  <si>
    <t xml:space="preserve">Level</t>
  </si>
  <si>
    <t xml:space="preserve">Rs50 L</t>
  </si>
  <si>
    <t xml:space="preserve">Rs1 Cr</t>
  </si>
  <si>
    <t xml:space="preserve">Rs2.5 Cr</t>
  </si>
  <si>
    <t xml:space="preserve">Rs5 Cr</t>
  </si>
  <si>
    <t xml:space="preserve">Rs10 Cr</t>
  </si>
  <si>
    <t xml:space="preserve">What it buys</t>
  </si>
  <si>
    <t xml:space="preserve">Concierge validation only (no product)</t>
  </si>
  <si>
    <t xml:space="preserve">Validation + MVP + founding 500</t>
  </si>
  <si>
    <t xml:space="preserve">MVP + 18-mo launch (Scenario A+partial B)</t>
  </si>
  <si>
    <t xml:space="preserve">Full A+B+early C</t>
  </si>
  <si>
    <t xml:space="preserve">Full staged plan + India tier + rituals</t>
  </si>
  <si>
    <t xml:space="preserve">Team (FTE)</t>
  </si>
  <si>
    <t xml:space="preserve">2-3</t>
  </si>
  <si>
    <t xml:space="preserve">8-9</t>
  </si>
  <si>
    <t xml:space="preserve">12-15</t>
  </si>
  <si>
    <t xml:space="preserve">20-24</t>
  </si>
  <si>
    <t xml:space="preserve">Runway (months)</t>
  </si>
  <si>
    <t xml:space="preserve">9-10</t>
  </si>
  <si>
    <t xml:space="preserve">10-14</t>
  </si>
  <si>
    <t xml:space="preserve">30-36</t>
  </si>
  <si>
    <t xml:space="preserve">Marketing budget (Rs)</t>
  </si>
  <si>
    <t xml:space="preserve">8 L</t>
  </si>
  <si>
    <t xml:space="preserve">25 L</t>
  </si>
  <si>
    <t xml:space="preserve">1.05 Cr</t>
  </si>
  <si>
    <t xml:space="preserve">2.4 Cr</t>
  </si>
  <si>
    <t xml:space="preserve">5.6 Cr</t>
  </si>
  <si>
    <t xml:space="preserve">Target paying customers</t>
  </si>
  <si>
    <t xml:space="preserve">50 pilot + 250 founding</t>
  </si>
  <si>
    <t xml:space="preserve">500-800</t>
  </si>
  <si>
    <t xml:space="preserve">3,000-3,500</t>
  </si>
  <si>
    <t xml:space="preserve">8,000-9,500</t>
  </si>
  <si>
    <t xml:space="preserve">16,000-19,000</t>
  </si>
  <si>
    <t xml:space="preserve">Exit ARR (Rs Cr)</t>
  </si>
  <si>
    <t xml:space="preserve">0.25</t>
  </si>
  <si>
    <t xml:space="preserve">0.7-0.9</t>
  </si>
  <si>
    <t xml:space="preserve">3.0-3.6</t>
  </si>
  <si>
    <t xml:space="preserve">8.5-10</t>
  </si>
  <si>
    <t xml:space="preserve">17-20</t>
  </si>
  <si>
    <t xml:space="preserve">Break-even</t>
  </si>
  <si>
    <t xml:space="preserve">n/a (validation)</t>
  </si>
  <si>
    <t xml:space="preserve">n/a</t>
  </si>
  <si>
    <t xml:space="preserve">path visible M18</t>
  </si>
  <si>
    <t xml:space="preserve">~M26-28</t>
  </si>
  <si>
    <t xml:space="preserve">3-yr cumulative revenue (Rs Cr)</t>
  </si>
  <si>
    <t xml:space="preserve">8-10</t>
  </si>
  <si>
    <t xml:space="preserve">18-23</t>
  </si>
  <si>
    <t xml:space="preserve">20-26</t>
  </si>
  <si>
    <t xml:space="preserve">3-yr cumulative EBITDA (Rs Cr)</t>
  </si>
  <si>
    <t xml:space="preserve">(0.5)</t>
  </si>
  <si>
    <t xml:space="preserve">(0.9)-(1.1)</t>
  </si>
  <si>
    <t xml:space="preserve">(2.5)-(3.2)</t>
  </si>
  <si>
    <t xml:space="preserve">(3.5)-(4.2)</t>
  </si>
  <si>
    <t xml:space="preserve">(3.2)-(4.0)</t>
  </si>
  <si>
    <t xml:space="preserve">Cash returned / retained</t>
  </si>
  <si>
    <t xml:space="preserve">Learning + stop-loss</t>
  </si>
  <si>
    <t xml:space="preserve">Brand + panel + cohort data</t>
  </si>
  <si>
    <t xml:space="preserve">Deferred-rev cushion ~Rs60L</t>
  </si>
  <si>
    <t xml:space="preserve">Rs1-2 Cr closing cash</t>
  </si>
  <si>
    <t xml:space="preserve">Rs1.5-3 Cr closing cash</t>
  </si>
  <si>
    <t xml:space="preserve">ROI shape</t>
  </si>
  <si>
    <t xml:space="preserve">Option value only</t>
  </si>
  <si>
    <t xml:space="preserve">Option value</t>
  </si>
  <si>
    <t xml:space="preserve">Series-A readiness</t>
  </si>
  <si>
    <t xml:space="preserve">2-4x revenue multiple potential</t>
  </si>
  <si>
    <t xml:space="preserve">3-5x potential IF churn&lt;=6%</t>
  </si>
  <si>
    <t xml:space="preserve">Constraint / risk</t>
  </si>
  <si>
    <t xml:space="preserve">No product built</t>
  </si>
  <si>
    <t xml:space="preserve">Skips retention proof at scale</t>
  </si>
  <si>
    <t xml:space="preserve">CAC inflation risk</t>
  </si>
  <si>
    <t xml:space="preserve">Gates still apply</t>
  </si>
  <si>
    <t xml:space="preserve">Diminishing: CAC rises, gates unchanged</t>
  </si>
  <si>
    <t xml:space="preserve">Milestone before next funding</t>
  </si>
  <si>
    <t xml:space="preserve">M2 renewal &gt;=60%</t>
  </si>
  <si>
    <t xml:space="preserve">500 founding, CAC&lt;Rs4,000</t>
  </si>
  <si>
    <t xml:space="preserve">Churn&lt;=6%, NPS&gt;=55</t>
  </si>
  <si>
    <t xml:space="preserve">Cohort audit</t>
  </si>
  <si>
    <t xml:space="preserve">Category leadership metrics</t>
  </si>
  <si>
    <t xml:space="preserve">Higher investment does NOT generate proportionate returns: retention gates, CAC inflation at scale,</t>
  </si>
  <si>
    <t xml:space="preserve">and category ceilings bind every level. The staged plan (Rs65L -&gt; Rs2.85Cr -&gt; Rs4.5Cr) is the recommended path.</t>
  </si>
  <si>
    <t xml:space="preserve">DASHBOARD - KEY OUTPUTS (all linked; recalc after edits)</t>
  </si>
  <si>
    <t xml:space="preserve">Paying customers M12</t>
  </si>
  <si>
    <t xml:space="preserve">Paying customers M24</t>
  </si>
  <si>
    <t xml:space="preserve">Paying customers M36</t>
  </si>
  <si>
    <t xml:space="preserve">Revenue Y1 (Rs)</t>
  </si>
  <si>
    <t xml:space="preserve">Revenue Y2 (Rs)</t>
  </si>
  <si>
    <t xml:space="preserve">Revenue Y3 (Rs)</t>
  </si>
  <si>
    <t xml:space="preserve">Gross margin Y3</t>
  </si>
  <si>
    <t xml:space="preserve">EBITDA Y1 (Rs)</t>
  </si>
  <si>
    <t xml:space="preserve">EBITDA Y2 (Rs)</t>
  </si>
  <si>
    <t xml:space="preserve">EBITDA Y3 (Rs)</t>
  </si>
  <si>
    <t xml:space="preserve">LTV (Rs)</t>
  </si>
  <si>
    <t xml:space="preserve">LTV:CAC</t>
  </si>
  <si>
    <t xml:space="preserve">Peak cumulative funding (Rs)</t>
  </si>
  <si>
    <t xml:space="preserve">Minimum cash balance (Rs)</t>
  </si>
  <si>
    <t xml:space="preserve">Closing cash M36 (Rs)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</si>
</sst>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%"/>
    <numFmt numFmtId="167" formatCode="0.00%"/>
    <numFmt numFmtId="168" formatCode="#,##0;\(#,##0\);\-"/>
    <numFmt numFmtId="169" formatCode="0.000"/>
    <numFmt numFmtId="170" formatCode="0.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customers (base)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'Customer Growth'!K3</c:f>
              <c:strCache>
                <c:ptCount val="1"/>
                <c:pt idx="0">
                  <c:v>Closing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Growth'!$A$4:$A$39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'Customer Growth'!$K$4:$K$39</c:f>
              <c:numCache>
                <c:formatCode>#,##0;\(#,##0\);\-</c:formatCode>
                <c:ptCount val="36"/>
                <c:pt idx="0">
                  <c:v>93.3333333333333</c:v>
                </c:pt>
                <c:pt idx="1">
                  <c:v>181.066666666667</c:v>
                </c:pt>
                <c:pt idx="2">
                  <c:v>263.536</c:v>
                </c:pt>
                <c:pt idx="3">
                  <c:v>796.612728888889</c:v>
                </c:pt>
                <c:pt idx="4">
                  <c:v>997.704854044445</c:v>
                </c:pt>
                <c:pt idx="5">
                  <c:v>1186.73145169067</c:v>
                </c:pt>
                <c:pt idx="6">
                  <c:v>1582.19423125589</c:v>
                </c:pt>
                <c:pt idx="7">
                  <c:v>1953.92924404721</c:v>
                </c:pt>
                <c:pt idx="8">
                  <c:v>2303.36015607104</c:v>
                </c:pt>
                <c:pt idx="9">
                  <c:v>2631.82521337345</c:v>
                </c:pt>
                <c:pt idx="10">
                  <c:v>2940.5823672377</c:v>
                </c:pt>
                <c:pt idx="11">
                  <c:v>3230.81409187011</c:v>
                </c:pt>
                <c:pt idx="12">
                  <c:v>3816.35843118162</c:v>
                </c:pt>
                <c:pt idx="13">
                  <c:v>4368.97106151968</c:v>
                </c:pt>
                <c:pt idx="14">
                  <c:v>4891.16403219855</c:v>
                </c:pt>
                <c:pt idx="15">
                  <c:v>5385.25429610882</c:v>
                </c:pt>
                <c:pt idx="16">
                  <c:v>5853.37995186034</c:v>
                </c:pt>
                <c:pt idx="17">
                  <c:v>6297.51507238208</c:v>
                </c:pt>
                <c:pt idx="18">
                  <c:v>6719.48324857027</c:v>
                </c:pt>
                <c:pt idx="19">
                  <c:v>7120.96996442811</c:v>
                </c:pt>
                <c:pt idx="20">
                  <c:v>7503.53390918013</c:v>
                </c:pt>
                <c:pt idx="21">
                  <c:v>7868.617321953</c:v>
                </c:pt>
                <c:pt idx="22">
                  <c:v>8217.55545568434</c:v>
                </c:pt>
                <c:pt idx="23">
                  <c:v>8551.58523885516</c:v>
                </c:pt>
                <c:pt idx="24">
                  <c:v>9182.9643174653</c:v>
                </c:pt>
                <c:pt idx="25">
                  <c:v>9785.15609752853</c:v>
                </c:pt>
                <c:pt idx="26">
                  <c:v>10360.3242912972</c:v>
                </c:pt>
                <c:pt idx="27">
                  <c:v>10910.4763170386</c:v>
                </c:pt>
                <c:pt idx="28">
                  <c:v>11437.4756756</c:v>
                </c:pt>
                <c:pt idx="29">
                  <c:v>11943.0533050333</c:v>
                </c:pt>
                <c:pt idx="30">
                  <c:v>12428.818002018</c:v>
                </c:pt>
                <c:pt idx="31">
                  <c:v>12896.265990806</c:v>
                </c:pt>
                <c:pt idx="32">
                  <c:v>13340.3415801546</c:v>
                </c:pt>
                <c:pt idx="33">
                  <c:v>13762.2133900357</c:v>
                </c:pt>
                <c:pt idx="34">
                  <c:v>14162.9916094228</c:v>
                </c:pt>
                <c:pt idx="35">
                  <c:v>14543.7309178406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364073"/>
        <c:axId val="711661"/>
      </c:lineChart>
      <c:catAx>
        <c:axId val="533640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61"/>
        <c:crosses val="autoZero"/>
        <c:auto val="1"/>
        <c:lblAlgn val="ctr"/>
        <c:lblOffset val="100"/>
        <c:noMultiLvlLbl val="0"/>
      </c:catAx>
      <c:valAx>
        <c:axId val="711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640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EBITDA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'Operating Expenses'!J3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Growth'!$A$4:$A$39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'Operating Expenses'!$J$4:$J$39</c:f>
              <c:numCache>
                <c:formatCode>#,##0;\(#,##0\);\-</c:formatCode>
                <c:ptCount val="36"/>
                <c:pt idx="0">
                  <c:v>-1695293.2</c:v>
                </c:pt>
                <c:pt idx="1">
                  <c:v>-1633879.008</c:v>
                </c:pt>
                <c:pt idx="2">
                  <c:v>-1576149.66752</c:v>
                </c:pt>
                <c:pt idx="3">
                  <c:v>-1867368.75413547</c:v>
                </c:pt>
                <c:pt idx="4">
                  <c:v>-1618353.36222067</c:v>
                </c:pt>
                <c:pt idx="5">
                  <c:v>-1486032.89382077</c:v>
                </c:pt>
                <c:pt idx="6">
                  <c:v>-3288735.78685819</c:v>
                </c:pt>
                <c:pt idx="7">
                  <c:v>-3028517.63964669</c:v>
                </c:pt>
                <c:pt idx="8">
                  <c:v>-2783912.58126789</c:v>
                </c:pt>
                <c:pt idx="9">
                  <c:v>-2553983.82639182</c:v>
                </c:pt>
                <c:pt idx="10">
                  <c:v>-2337850.79680831</c:v>
                </c:pt>
                <c:pt idx="11">
                  <c:v>-2134685.74899981</c:v>
                </c:pt>
                <c:pt idx="12">
                  <c:v>-2837640.02363132</c:v>
                </c:pt>
                <c:pt idx="13">
                  <c:v>-2451599.94266558</c:v>
                </c:pt>
                <c:pt idx="14">
                  <c:v>-2087047.37891265</c:v>
                </c:pt>
                <c:pt idx="15">
                  <c:v>-1742344.43140471</c:v>
                </c:pt>
                <c:pt idx="16">
                  <c:v>-1415980.03577382</c:v>
                </c:pt>
                <c:pt idx="17">
                  <c:v>-1106559.42567746</c:v>
                </c:pt>
                <c:pt idx="18">
                  <c:v>-2431894.50949938</c:v>
                </c:pt>
                <c:pt idx="19">
                  <c:v>-2152595.07921521</c:v>
                </c:pt>
                <c:pt idx="20">
                  <c:v>-1886660.77614956</c:v>
                </c:pt>
                <c:pt idx="21">
                  <c:v>-1633073.74542427</c:v>
                </c:pt>
                <c:pt idx="22">
                  <c:v>-1390891.91728097</c:v>
                </c:pt>
                <c:pt idx="23">
                  <c:v>-1159242.85922609</c:v>
                </c:pt>
                <c:pt idx="24">
                  <c:v>-1831795.48148723</c:v>
                </c:pt>
                <c:pt idx="25">
                  <c:v>-1413392.9176424</c:v>
                </c:pt>
                <c:pt idx="26">
                  <c:v>-1014055.9617181</c:v>
                </c:pt>
                <c:pt idx="27">
                  <c:v>-632369.849664673</c:v>
                </c:pt>
                <c:pt idx="28">
                  <c:v>-267021.643136838</c:v>
                </c:pt>
                <c:pt idx="29">
                  <c:v>83207.8196512014</c:v>
                </c:pt>
                <c:pt idx="30">
                  <c:v>419451.309925657</c:v>
                </c:pt>
                <c:pt idx="31">
                  <c:v>742761.988686038</c:v>
                </c:pt>
                <c:pt idx="32">
                  <c:v>1051932.5559184</c:v>
                </c:pt>
                <c:pt idx="33">
                  <c:v>1345644.59478915</c:v>
                </c:pt>
                <c:pt idx="34">
                  <c:v>1624671.03171636</c:v>
                </c:pt>
                <c:pt idx="35">
                  <c:v>1889746.14679721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991810"/>
        <c:axId val="62174993"/>
      </c:lineChart>
      <c:catAx>
        <c:axId val="63991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74993"/>
        <c:crosses val="autoZero"/>
        <c:auto val="1"/>
        <c:lblAlgn val="ctr"/>
        <c:lblOffset val="100"/>
        <c:noMultiLvlLbl val="0"/>
      </c:catAx>
      <c:valAx>
        <c:axId val="62174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91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12</xdr:col>
      <xdr:colOff>255240</xdr:colOff>
      <xdr:row>15</xdr:row>
      <xdr:rowOff>27720</xdr:rowOff>
    </xdr:to>
    <xdr:graphicFrame>
      <xdr:nvGraphicFramePr>
        <xdr:cNvPr id="0" name="Chart 1"/>
        <xdr:cNvGraphicFramePr/>
      </xdr:nvGraphicFramePr>
      <xdr:xfrm>
        <a:off x="3853800" y="37584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176040</xdr:rowOff>
    </xdr:from>
    <xdr:to>
      <xdr:col>12</xdr:col>
      <xdr:colOff>255240</xdr:colOff>
      <xdr:row>30</xdr:row>
      <xdr:rowOff>27720</xdr:rowOff>
    </xdr:to>
    <xdr:graphicFrame>
      <xdr:nvGraphicFramePr>
        <xdr:cNvPr id="1" name="Chart 2"/>
        <xdr:cNvGraphicFramePr/>
      </xdr:nvGraphicFramePr>
      <xdr:xfrm>
        <a:off x="3853800" y="3233520"/>
        <a:ext cx="5758920" cy="25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78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1" t="s">
        <v>6</v>
      </c>
      <c r="B4" s="4" t="n">
        <v>90</v>
      </c>
      <c r="C4" s="1" t="s">
        <v>7</v>
      </c>
      <c r="D4" s="1" t="s">
        <v>8</v>
      </c>
      <c r="E4" s="1" t="s">
        <v>9</v>
      </c>
    </row>
    <row r="5" customFormat="false" ht="15" hidden="false" customHeight="true" outlineLevel="0" collapsed="false">
      <c r="A5" s="1" t="s">
        <v>10</v>
      </c>
      <c r="B5" s="5" t="n">
        <v>0.18</v>
      </c>
      <c r="C5" s="1" t="s">
        <v>11</v>
      </c>
      <c r="D5" s="1" t="s">
        <v>12</v>
      </c>
      <c r="E5" s="1" t="s">
        <v>13</v>
      </c>
    </row>
    <row r="6" customFormat="false" ht="15" hidden="false" customHeight="true" outlineLevel="0" collapsed="false">
      <c r="A6" s="1" t="s">
        <v>14</v>
      </c>
      <c r="B6" s="6" t="n">
        <v>815</v>
      </c>
      <c r="C6" s="1" t="s">
        <v>15</v>
      </c>
      <c r="D6" s="1" t="s">
        <v>16</v>
      </c>
      <c r="E6" s="1" t="s">
        <v>17</v>
      </c>
    </row>
    <row r="7" customFormat="false" ht="15" hidden="false" customHeight="true" outlineLevel="0" collapsed="false">
      <c r="A7" s="1" t="s">
        <v>18</v>
      </c>
      <c r="B7" s="4" t="n">
        <v>65</v>
      </c>
      <c r="C7" s="1" t="s">
        <v>15</v>
      </c>
      <c r="D7" s="1" t="s">
        <v>8</v>
      </c>
      <c r="E7" s="1" t="s">
        <v>19</v>
      </c>
    </row>
    <row r="8" customFormat="false" ht="15" hidden="false" customHeight="true" outlineLevel="0" collapsed="false">
      <c r="A8" s="1" t="s">
        <v>20</v>
      </c>
      <c r="B8" s="7" t="n">
        <v>0.06</v>
      </c>
      <c r="C8" s="1" t="s">
        <v>21</v>
      </c>
      <c r="D8" s="1" t="s">
        <v>22</v>
      </c>
      <c r="E8" s="1" t="s">
        <v>23</v>
      </c>
    </row>
    <row r="9" customFormat="false" ht="15" hidden="false" customHeight="true" outlineLevel="0" collapsed="false">
      <c r="A9" s="1" t="s">
        <v>24</v>
      </c>
      <c r="B9" s="5" t="n">
        <v>0.075</v>
      </c>
      <c r="C9" s="1" t="s">
        <v>21</v>
      </c>
      <c r="D9" s="1" t="s">
        <v>25</v>
      </c>
      <c r="E9" s="1" t="s">
        <v>26</v>
      </c>
    </row>
    <row r="10" customFormat="false" ht="15" hidden="false" customHeight="true" outlineLevel="0" collapsed="false">
      <c r="A10" s="1" t="s">
        <v>27</v>
      </c>
      <c r="B10" s="5" t="n">
        <v>0.045</v>
      </c>
      <c r="C10" s="1" t="s">
        <v>21</v>
      </c>
      <c r="D10" s="1" t="s">
        <v>25</v>
      </c>
      <c r="E10" s="1" t="s">
        <v>28</v>
      </c>
    </row>
    <row r="11" customFormat="false" ht="15" hidden="false" customHeight="true" outlineLevel="0" collapsed="false">
      <c r="A11" s="1" t="s">
        <v>29</v>
      </c>
      <c r="B11" s="6" t="n">
        <v>3600</v>
      </c>
      <c r="C11" s="1" t="s">
        <v>30</v>
      </c>
      <c r="D11" s="1" t="s">
        <v>22</v>
      </c>
      <c r="E11" s="1" t="s">
        <v>31</v>
      </c>
    </row>
    <row r="12" customFormat="false" ht="15" hidden="false" customHeight="true" outlineLevel="0" collapsed="false">
      <c r="A12" s="1" t="s">
        <v>32</v>
      </c>
      <c r="B12" s="4" t="n">
        <v>4500</v>
      </c>
      <c r="C12" s="1" t="s">
        <v>30</v>
      </c>
      <c r="D12" s="1" t="s">
        <v>25</v>
      </c>
      <c r="E12" s="1" t="s">
        <v>26</v>
      </c>
    </row>
    <row r="13" customFormat="false" ht="15" hidden="false" customHeight="true" outlineLevel="0" collapsed="false">
      <c r="A13" s="1" t="s">
        <v>33</v>
      </c>
      <c r="B13" s="4" t="n">
        <v>3000</v>
      </c>
      <c r="C13" s="1" t="s">
        <v>30</v>
      </c>
      <c r="D13" s="1" t="s">
        <v>25</v>
      </c>
      <c r="E13" s="1" t="s">
        <v>34</v>
      </c>
    </row>
    <row r="14" customFormat="false" ht="15" hidden="false" customHeight="true" outlineLevel="0" collapsed="false">
      <c r="A14" s="1" t="s">
        <v>35</v>
      </c>
      <c r="B14" s="5" t="n">
        <v>0.12</v>
      </c>
      <c r="C14" s="1" t="s">
        <v>11</v>
      </c>
      <c r="D14" s="1" t="s">
        <v>8</v>
      </c>
      <c r="E14" s="1" t="s">
        <v>36</v>
      </c>
    </row>
    <row r="15" customFormat="false" ht="15" hidden="false" customHeight="true" outlineLevel="0" collapsed="false">
      <c r="A15" s="1" t="s">
        <v>37</v>
      </c>
      <c r="B15" s="5" t="n">
        <v>0.025</v>
      </c>
      <c r="C15" s="1" t="s">
        <v>11</v>
      </c>
      <c r="D15" s="1" t="s">
        <v>8</v>
      </c>
      <c r="E15" s="1" t="s">
        <v>38</v>
      </c>
    </row>
    <row r="16" customFormat="false" ht="15" hidden="false" customHeight="true" outlineLevel="0" collapsed="false">
      <c r="A16" s="1" t="s">
        <v>39</v>
      </c>
      <c r="B16" s="4" t="n">
        <v>70</v>
      </c>
      <c r="C16" s="1" t="s">
        <v>30</v>
      </c>
      <c r="D16" s="1" t="s">
        <v>16</v>
      </c>
      <c r="E16" s="1" t="s">
        <v>40</v>
      </c>
    </row>
    <row r="17" customFormat="false" ht="15" hidden="false" customHeight="true" outlineLevel="0" collapsed="false">
      <c r="A17" s="1" t="s">
        <v>41</v>
      </c>
      <c r="B17" s="4" t="n">
        <v>45</v>
      </c>
      <c r="C17" s="1" t="s">
        <v>30</v>
      </c>
      <c r="D17" s="1" t="s">
        <v>16</v>
      </c>
      <c r="E17" s="1" t="s">
        <v>42</v>
      </c>
    </row>
    <row r="18" customFormat="false" ht="15" hidden="false" customHeight="true" outlineLevel="0" collapsed="false">
      <c r="A18" s="1" t="s">
        <v>43</v>
      </c>
      <c r="B18" s="4" t="n">
        <v>25</v>
      </c>
      <c r="C18" s="1" t="s">
        <v>30</v>
      </c>
      <c r="D18" s="1" t="s">
        <v>8</v>
      </c>
      <c r="E18" s="1" t="s">
        <v>44</v>
      </c>
    </row>
    <row r="19" customFormat="false" ht="15" hidden="false" customHeight="true" outlineLevel="0" collapsed="false">
      <c r="A19" s="1" t="s">
        <v>45</v>
      </c>
      <c r="B19" s="5" t="n">
        <v>0.028</v>
      </c>
      <c r="C19" s="1" t="s">
        <v>11</v>
      </c>
      <c r="D19" s="1" t="s">
        <v>12</v>
      </c>
      <c r="E19" s="1" t="s">
        <v>46</v>
      </c>
    </row>
    <row r="20" customFormat="false" ht="15" hidden="false" customHeight="true" outlineLevel="0" collapsed="false">
      <c r="A20" s="1" t="s">
        <v>47</v>
      </c>
      <c r="B20" s="4" t="n">
        <v>15</v>
      </c>
      <c r="C20" s="1" t="s">
        <v>30</v>
      </c>
      <c r="D20" s="1" t="s">
        <v>8</v>
      </c>
      <c r="E20" s="1" t="s">
        <v>48</v>
      </c>
    </row>
    <row r="21" customFormat="false" ht="15" hidden="false" customHeight="true" outlineLevel="0" collapsed="false">
      <c r="A21" s="1" t="s">
        <v>49</v>
      </c>
      <c r="B21" s="8" t="n">
        <v>0.6</v>
      </c>
      <c r="C21" s="1" t="s">
        <v>11</v>
      </c>
      <c r="D21" s="1" t="s">
        <v>8</v>
      </c>
      <c r="E21" s="1" t="s">
        <v>50</v>
      </c>
    </row>
    <row r="22" customFormat="false" ht="15" hidden="false" customHeight="true" outlineLevel="0" collapsed="false">
      <c r="A22" s="1" t="s">
        <v>51</v>
      </c>
      <c r="B22" s="8" t="n">
        <v>0.25</v>
      </c>
      <c r="C22" s="1" t="s">
        <v>11</v>
      </c>
      <c r="D22" s="1" t="s">
        <v>8</v>
      </c>
      <c r="E22" s="1" t="s">
        <v>52</v>
      </c>
    </row>
    <row r="23" customFormat="false" ht="15" hidden="false" customHeight="true" outlineLevel="0" collapsed="false">
      <c r="A23" s="1" t="s">
        <v>53</v>
      </c>
      <c r="B23" s="4" t="n">
        <v>300</v>
      </c>
      <c r="C23" s="1" t="s">
        <v>54</v>
      </c>
      <c r="D23" s="1" t="s">
        <v>55</v>
      </c>
      <c r="E23" s="1" t="s">
        <v>56</v>
      </c>
    </row>
    <row r="24" customFormat="false" ht="15" hidden="false" customHeight="true" outlineLevel="0" collapsed="false">
      <c r="A24" s="1" t="s">
        <v>57</v>
      </c>
      <c r="B24" s="9" t="n">
        <v>0.0005</v>
      </c>
      <c r="C24" s="1" t="s">
        <v>58</v>
      </c>
      <c r="D24" s="1" t="s">
        <v>8</v>
      </c>
      <c r="E24" s="1" t="s">
        <v>59</v>
      </c>
    </row>
    <row r="25" customFormat="false" ht="15" hidden="false" customHeight="true" outlineLevel="0" collapsed="false">
      <c r="A25" s="1" t="s">
        <v>60</v>
      </c>
      <c r="B25" s="5" t="n">
        <v>0.05</v>
      </c>
      <c r="C25" s="1" t="s">
        <v>21</v>
      </c>
      <c r="D25" s="1" t="s">
        <v>8</v>
      </c>
      <c r="E25" s="1" t="s">
        <v>61</v>
      </c>
    </row>
    <row r="27" customFormat="false" ht="15" hidden="false" customHeight="true" outlineLevel="0" collapsed="false">
      <c r="A27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4" min="3" style="1" width="10"/>
    <col collapsed="false" customWidth="true" hidden="false" outlineLevel="0" max="5" min="5" style="1" width="8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9" min="8" style="1" width="14"/>
  </cols>
  <sheetData>
    <row r="1" customFormat="false" ht="15.75" hidden="false" customHeight="true" outlineLevel="0" collapsed="false">
      <c r="A1" s="2" t="s">
        <v>63</v>
      </c>
    </row>
    <row r="3" customFormat="false" ht="26.25" hidden="false" customHeight="true" outlineLevel="0" collapsed="false">
      <c r="A3" s="11" t="s">
        <v>55</v>
      </c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69</v>
      </c>
      <c r="H3" s="11" t="s">
        <v>70</v>
      </c>
      <c r="I3" s="11" t="s">
        <v>71</v>
      </c>
    </row>
    <row r="4" customFormat="false" ht="15" hidden="false" customHeight="true" outlineLevel="0" collapsed="false">
      <c r="A4" s="1" t="s">
        <v>72</v>
      </c>
      <c r="B4" s="1" t="s">
        <v>73</v>
      </c>
      <c r="C4" s="4" t="s">
        <v>74</v>
      </c>
      <c r="D4" s="4" t="s">
        <v>75</v>
      </c>
      <c r="E4" s="8" t="n">
        <v>0.45</v>
      </c>
      <c r="F4" s="12" t="n">
        <f aca="false">(0.4*12.99+0.6*99/12)*Assumptions!$B$4</f>
        <v>913.14</v>
      </c>
      <c r="G4" s="13" t="n">
        <v>1</v>
      </c>
      <c r="H4" s="12" t="n">
        <f aca="false">F4*G4</f>
        <v>913.14</v>
      </c>
      <c r="I4" s="12" t="n">
        <f aca="false">H4*E4</f>
        <v>410.913</v>
      </c>
    </row>
    <row r="5" customFormat="false" ht="15" hidden="false" customHeight="true" outlineLevel="0" collapsed="false">
      <c r="A5" s="1" t="s">
        <v>76</v>
      </c>
      <c r="B5" s="1" t="s">
        <v>77</v>
      </c>
      <c r="C5" s="4" t="s">
        <v>78</v>
      </c>
      <c r="D5" s="4" t="s">
        <v>79</v>
      </c>
      <c r="E5" s="8" t="n">
        <v>0.12</v>
      </c>
      <c r="F5" s="12" t="n">
        <f aca="false">(0.4*24.99+0.6*199/12)*Assumptions!$B$4</f>
        <v>1795.14</v>
      </c>
      <c r="G5" s="13" t="n">
        <v>1</v>
      </c>
      <c r="H5" s="12" t="n">
        <f aca="false">F5*G5</f>
        <v>1795.14</v>
      </c>
      <c r="I5" s="12" t="n">
        <f aca="false">H5*E5</f>
        <v>215.4168</v>
      </c>
    </row>
    <row r="6" customFormat="false" ht="15" hidden="false" customHeight="true" outlineLevel="0" collapsed="false">
      <c r="A6" s="1" t="s">
        <v>80</v>
      </c>
      <c r="B6" s="1" t="s">
        <v>81</v>
      </c>
      <c r="C6" s="4" t="s">
        <v>82</v>
      </c>
      <c r="D6" s="4" t="s">
        <v>83</v>
      </c>
      <c r="E6" s="8" t="n">
        <v>0.3</v>
      </c>
      <c r="F6" s="12" t="n">
        <f aca="false">0.4*499+0.6*3999/12</f>
        <v>399.55</v>
      </c>
      <c r="G6" s="13" t="n">
        <f aca="false">1/(1+Assumptions!$B$5)</f>
        <v>0.847457627118644</v>
      </c>
      <c r="H6" s="12" t="n">
        <f aca="false">F6*G6</f>
        <v>338.601694915254</v>
      </c>
      <c r="I6" s="12" t="n">
        <f aca="false">H6*E6</f>
        <v>101.580508474576</v>
      </c>
    </row>
    <row r="7" customFormat="false" ht="15" hidden="false" customHeight="true" outlineLevel="0" collapsed="false">
      <c r="A7" s="1" t="s">
        <v>84</v>
      </c>
      <c r="B7" s="1" t="s">
        <v>85</v>
      </c>
      <c r="C7" s="4" t="s">
        <v>86</v>
      </c>
      <c r="D7" s="4" t="s">
        <v>87</v>
      </c>
      <c r="E7" s="8" t="n">
        <v>0.13</v>
      </c>
      <c r="F7" s="12" t="n">
        <f aca="false">0.4*999+0.6*7999/12</f>
        <v>799.55</v>
      </c>
      <c r="G7" s="13" t="n">
        <f aca="false">1/(1+Assumptions!$B$5)</f>
        <v>0.847457627118644</v>
      </c>
      <c r="H7" s="12" t="n">
        <f aca="false">F7*G7</f>
        <v>677.584745762712</v>
      </c>
      <c r="I7" s="12" t="n">
        <f aca="false">H7*E7</f>
        <v>88.0860169491526</v>
      </c>
    </row>
    <row r="9" customFormat="false" ht="15" hidden="false" customHeight="true" outlineLevel="0" collapsed="false">
      <c r="A9" s="14" t="s">
        <v>88</v>
      </c>
      <c r="I9" s="15" t="n">
        <f aca="false">SUM(I4:I7)</f>
        <v>815.996325423729</v>
      </c>
    </row>
    <row r="10" customFormat="false" ht="15" hidden="false" customHeight="true" outlineLevel="0" collapsed="false">
      <c r="A10" s="1" t="s">
        <v>89</v>
      </c>
      <c r="I10" s="16" t="n">
        <f aca="false">Assumptions!$B$6</f>
        <v>815</v>
      </c>
    </row>
    <row r="12" customFormat="false" ht="15" hidden="false" customHeight="true" outlineLevel="0" collapsed="false">
      <c r="A12" s="1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9" min="7" style="1" width="10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3" min="12" style="1" width="11"/>
  </cols>
  <sheetData>
    <row r="1" customFormat="false" ht="15.75" hidden="false" customHeight="true" outlineLevel="0" collapsed="false">
      <c r="A1" s="2" t="s">
        <v>91</v>
      </c>
    </row>
    <row r="3" customFormat="false" ht="26.25" hidden="false" customHeight="true" outlineLevel="0" collapsed="false">
      <c r="A3" s="11" t="s">
        <v>92</v>
      </c>
      <c r="B3" s="11" t="s">
        <v>93</v>
      </c>
      <c r="C3" s="11" t="s">
        <v>94</v>
      </c>
      <c r="D3" s="11" t="s">
        <v>95</v>
      </c>
      <c r="E3" s="11" t="s">
        <v>96</v>
      </c>
      <c r="F3" s="11" t="s">
        <v>97</v>
      </c>
      <c r="G3" s="11" t="s">
        <v>98</v>
      </c>
      <c r="H3" s="11" t="s">
        <v>99</v>
      </c>
      <c r="I3" s="11" t="s">
        <v>100</v>
      </c>
      <c r="J3" s="11" t="s">
        <v>101</v>
      </c>
      <c r="K3" s="11" t="s">
        <v>102</v>
      </c>
      <c r="L3" s="11" t="s">
        <v>103</v>
      </c>
      <c r="M3" s="11" t="s">
        <v>104</v>
      </c>
    </row>
    <row r="4" customFormat="false" ht="15" hidden="false" customHeight="true" outlineLevel="0" collapsed="false">
      <c r="A4" s="1" t="n">
        <v>1</v>
      </c>
      <c r="B4" s="17" t="n">
        <v>300000</v>
      </c>
      <c r="C4" s="16" t="n">
        <f aca="false">Assumptions!$B$11</f>
        <v>3600</v>
      </c>
      <c r="D4" s="12" t="n">
        <f aca="false">B4/C4</f>
        <v>83.3333333333333</v>
      </c>
      <c r="E4" s="12" t="n">
        <f aca="false">D4*Assumptions!$B$14</f>
        <v>10</v>
      </c>
      <c r="F4" s="12" t="n">
        <f aca="false">IF(A4=4,Assumptions!$B$23,0)</f>
        <v>0</v>
      </c>
      <c r="G4" s="12" t="n">
        <f aca="false">D4+E4+F4</f>
        <v>93.3333333333333</v>
      </c>
      <c r="H4" s="12" t="n">
        <v>0</v>
      </c>
      <c r="I4" s="18" t="n">
        <f aca="false">MAX(Assumptions!$B$25,Assumptions!$B$8-MAX(0,A4-12)*Assumptions!$B$24)</f>
        <v>0.06</v>
      </c>
      <c r="J4" s="12" t="n">
        <f aca="false">H4*I4</f>
        <v>0</v>
      </c>
      <c r="K4" s="12" t="n">
        <f aca="false">H4+G4-J4</f>
        <v>93.3333333333333</v>
      </c>
      <c r="L4" s="12" t="n">
        <f aca="false">K4*Assumptions!$B$21</f>
        <v>56</v>
      </c>
      <c r="M4" s="12" t="n">
        <f aca="false">K4*Assumptions!$B$22</f>
        <v>23.3333333333333</v>
      </c>
    </row>
    <row r="5" customFormat="false" ht="15" hidden="false" customHeight="true" outlineLevel="0" collapsed="false">
      <c r="A5" s="1" t="n">
        <v>2</v>
      </c>
      <c r="B5" s="17" t="n">
        <v>300000</v>
      </c>
      <c r="C5" s="16" t="n">
        <f aca="false">Assumptions!$B$11</f>
        <v>3600</v>
      </c>
      <c r="D5" s="12" t="n">
        <f aca="false">B5/C5</f>
        <v>83.3333333333333</v>
      </c>
      <c r="E5" s="12" t="n">
        <f aca="false">D5*Assumptions!$B$14</f>
        <v>10</v>
      </c>
      <c r="F5" s="12" t="n">
        <f aca="false">IF(A5=4,Assumptions!$B$23,0)</f>
        <v>0</v>
      </c>
      <c r="G5" s="12" t="n">
        <f aca="false">D5+E5+F5</f>
        <v>93.3333333333333</v>
      </c>
      <c r="H5" s="12" t="n">
        <f aca="false">K4</f>
        <v>93.3333333333333</v>
      </c>
      <c r="I5" s="18" t="n">
        <f aca="false">MAX(Assumptions!$B$25,Assumptions!$B$8-MAX(0,A5-12)*Assumptions!$B$24)</f>
        <v>0.06</v>
      </c>
      <c r="J5" s="12" t="n">
        <f aca="false">H5*I5</f>
        <v>5.6</v>
      </c>
      <c r="K5" s="12" t="n">
        <f aca="false">H5+G5-J5</f>
        <v>181.066666666667</v>
      </c>
      <c r="L5" s="12" t="n">
        <f aca="false">K5*Assumptions!$B$21</f>
        <v>108.64</v>
      </c>
      <c r="M5" s="12" t="n">
        <f aca="false">K5*Assumptions!$B$22</f>
        <v>45.2666666666667</v>
      </c>
    </row>
    <row r="6" customFormat="false" ht="15" hidden="false" customHeight="true" outlineLevel="0" collapsed="false">
      <c r="A6" s="1" t="n">
        <v>3</v>
      </c>
      <c r="B6" s="17" t="n">
        <v>300000</v>
      </c>
      <c r="C6" s="16" t="n">
        <f aca="false">Assumptions!$B$11</f>
        <v>3600</v>
      </c>
      <c r="D6" s="12" t="n">
        <f aca="false">B6/C6</f>
        <v>83.3333333333333</v>
      </c>
      <c r="E6" s="12" t="n">
        <f aca="false">D6*Assumptions!$B$14</f>
        <v>10</v>
      </c>
      <c r="F6" s="12" t="n">
        <f aca="false">IF(A6=4,Assumptions!$B$23,0)</f>
        <v>0</v>
      </c>
      <c r="G6" s="12" t="n">
        <f aca="false">D6+E6+F6</f>
        <v>93.3333333333333</v>
      </c>
      <c r="H6" s="12" t="n">
        <f aca="false">K5</f>
        <v>181.066666666667</v>
      </c>
      <c r="I6" s="18" t="n">
        <f aca="false">MAX(Assumptions!$B$25,Assumptions!$B$8-MAX(0,A6-12)*Assumptions!$B$24)</f>
        <v>0.06</v>
      </c>
      <c r="J6" s="12" t="n">
        <f aca="false">H6*I6</f>
        <v>10.864</v>
      </c>
      <c r="K6" s="12" t="n">
        <f aca="false">H6+G6-J6</f>
        <v>263.536</v>
      </c>
      <c r="L6" s="12" t="n">
        <f aca="false">K6*Assumptions!$B$21</f>
        <v>158.1216</v>
      </c>
      <c r="M6" s="12" t="n">
        <f aca="false">K6*Assumptions!$B$22</f>
        <v>65.884</v>
      </c>
    </row>
    <row r="7" customFormat="false" ht="15" hidden="false" customHeight="true" outlineLevel="0" collapsed="false">
      <c r="A7" s="1" t="n">
        <v>4</v>
      </c>
      <c r="B7" s="17" t="n">
        <v>800000</v>
      </c>
      <c r="C7" s="16" t="n">
        <f aca="false">Assumptions!$B$11</f>
        <v>3600</v>
      </c>
      <c r="D7" s="12" t="n">
        <f aca="false">B7/C7</f>
        <v>222.222222222222</v>
      </c>
      <c r="E7" s="12" t="n">
        <f aca="false">D7*Assumptions!$B$14</f>
        <v>26.6666666666667</v>
      </c>
      <c r="F7" s="12" t="n">
        <f aca="false">IF(A7=4,Assumptions!$B$23,0)</f>
        <v>300</v>
      </c>
      <c r="G7" s="12" t="n">
        <f aca="false">D7+E7+F7</f>
        <v>548.888888888889</v>
      </c>
      <c r="H7" s="12" t="n">
        <f aca="false">K6</f>
        <v>263.536</v>
      </c>
      <c r="I7" s="18" t="n">
        <f aca="false">MAX(Assumptions!$B$25,Assumptions!$B$8-MAX(0,A7-12)*Assumptions!$B$24)</f>
        <v>0.06</v>
      </c>
      <c r="J7" s="12" t="n">
        <f aca="false">H7*I7</f>
        <v>15.81216</v>
      </c>
      <c r="K7" s="12" t="n">
        <f aca="false">H7+G7-J7</f>
        <v>796.612728888889</v>
      </c>
      <c r="L7" s="12" t="n">
        <f aca="false">K7*Assumptions!$B$21</f>
        <v>477.967637333333</v>
      </c>
      <c r="M7" s="12" t="n">
        <f aca="false">K7*Assumptions!$B$22</f>
        <v>199.153182222222</v>
      </c>
    </row>
    <row r="8" customFormat="false" ht="15" hidden="false" customHeight="true" outlineLevel="0" collapsed="false">
      <c r="A8" s="1" t="n">
        <v>5</v>
      </c>
      <c r="B8" s="17" t="n">
        <v>800000</v>
      </c>
      <c r="C8" s="16" t="n">
        <f aca="false">Assumptions!$B$11</f>
        <v>3600</v>
      </c>
      <c r="D8" s="12" t="n">
        <f aca="false">B8/C8</f>
        <v>222.222222222222</v>
      </c>
      <c r="E8" s="12" t="n">
        <f aca="false">D8*Assumptions!$B$14</f>
        <v>26.6666666666667</v>
      </c>
      <c r="F8" s="12" t="n">
        <f aca="false">IF(A8=4,Assumptions!$B$23,0)</f>
        <v>0</v>
      </c>
      <c r="G8" s="12" t="n">
        <f aca="false">D8+E8+F8</f>
        <v>248.888888888889</v>
      </c>
      <c r="H8" s="12" t="n">
        <f aca="false">K7</f>
        <v>796.612728888889</v>
      </c>
      <c r="I8" s="18" t="n">
        <f aca="false">MAX(Assumptions!$B$25,Assumptions!$B$8-MAX(0,A8-12)*Assumptions!$B$24)</f>
        <v>0.06</v>
      </c>
      <c r="J8" s="12" t="n">
        <f aca="false">H8*I8</f>
        <v>47.7967637333333</v>
      </c>
      <c r="K8" s="12" t="n">
        <f aca="false">H8+G8-J8</f>
        <v>997.704854044445</v>
      </c>
      <c r="L8" s="12" t="n">
        <f aca="false">K8*Assumptions!$B$21</f>
        <v>598.622912426667</v>
      </c>
      <c r="M8" s="12" t="n">
        <f aca="false">K8*Assumptions!$B$22</f>
        <v>249.426213511111</v>
      </c>
    </row>
    <row r="9" customFormat="false" ht="15" hidden="false" customHeight="true" outlineLevel="0" collapsed="false">
      <c r="A9" s="1" t="n">
        <v>6</v>
      </c>
      <c r="B9" s="17" t="n">
        <v>800000</v>
      </c>
      <c r="C9" s="16" t="n">
        <f aca="false">Assumptions!$B$11</f>
        <v>3600</v>
      </c>
      <c r="D9" s="12" t="n">
        <f aca="false">B9/C9</f>
        <v>222.222222222222</v>
      </c>
      <c r="E9" s="12" t="n">
        <f aca="false">D9*Assumptions!$B$14</f>
        <v>26.6666666666667</v>
      </c>
      <c r="F9" s="12" t="n">
        <f aca="false">IF(A9=4,Assumptions!$B$23,0)</f>
        <v>0</v>
      </c>
      <c r="G9" s="12" t="n">
        <f aca="false">D9+E9+F9</f>
        <v>248.888888888889</v>
      </c>
      <c r="H9" s="12" t="n">
        <f aca="false">K8</f>
        <v>997.704854044445</v>
      </c>
      <c r="I9" s="18" t="n">
        <f aca="false">MAX(Assumptions!$B$25,Assumptions!$B$8-MAX(0,A9-12)*Assumptions!$B$24)</f>
        <v>0.06</v>
      </c>
      <c r="J9" s="12" t="n">
        <f aca="false">H9*I9</f>
        <v>59.8622912426667</v>
      </c>
      <c r="K9" s="12" t="n">
        <f aca="false">H9+G9-J9</f>
        <v>1186.73145169067</v>
      </c>
      <c r="L9" s="12" t="n">
        <f aca="false">K9*Assumptions!$B$21</f>
        <v>712.0388710144</v>
      </c>
      <c r="M9" s="12" t="n">
        <f aca="false">K9*Assumptions!$B$22</f>
        <v>296.682862922667</v>
      </c>
    </row>
    <row r="10" customFormat="false" ht="15" hidden="false" customHeight="true" outlineLevel="0" collapsed="false">
      <c r="A10" s="1" t="n">
        <v>7</v>
      </c>
      <c r="B10" s="17" t="n">
        <v>1500000</v>
      </c>
      <c r="C10" s="16" t="n">
        <f aca="false">Assumptions!$B$11</f>
        <v>3600</v>
      </c>
      <c r="D10" s="12" t="n">
        <f aca="false">B10/C10</f>
        <v>416.666666666667</v>
      </c>
      <c r="E10" s="12" t="n">
        <f aca="false">D10*Assumptions!$B$14</f>
        <v>50</v>
      </c>
      <c r="F10" s="12" t="n">
        <f aca="false">IF(A10=4,Assumptions!$B$23,0)</f>
        <v>0</v>
      </c>
      <c r="G10" s="12" t="n">
        <f aca="false">D10+E10+F10</f>
        <v>466.666666666667</v>
      </c>
      <c r="H10" s="12" t="n">
        <f aca="false">K9</f>
        <v>1186.73145169067</v>
      </c>
      <c r="I10" s="18" t="n">
        <f aca="false">MAX(Assumptions!$B$25,Assumptions!$B$8-MAX(0,A10-12)*Assumptions!$B$24)</f>
        <v>0.06</v>
      </c>
      <c r="J10" s="12" t="n">
        <f aca="false">H10*I10</f>
        <v>71.20388710144</v>
      </c>
      <c r="K10" s="12" t="n">
        <f aca="false">H10+G10-J10</f>
        <v>1582.19423125589</v>
      </c>
      <c r="L10" s="12" t="n">
        <f aca="false">K10*Assumptions!$B$21</f>
        <v>949.316538753536</v>
      </c>
      <c r="M10" s="12" t="n">
        <f aca="false">K10*Assumptions!$B$22</f>
        <v>395.548557813973</v>
      </c>
    </row>
    <row r="11" customFormat="false" ht="15" hidden="false" customHeight="true" outlineLevel="0" collapsed="false">
      <c r="A11" s="1" t="n">
        <v>8</v>
      </c>
      <c r="B11" s="17" t="n">
        <v>1500000</v>
      </c>
      <c r="C11" s="16" t="n">
        <f aca="false">Assumptions!$B$11</f>
        <v>3600</v>
      </c>
      <c r="D11" s="12" t="n">
        <f aca="false">B11/C11</f>
        <v>416.666666666667</v>
      </c>
      <c r="E11" s="12" t="n">
        <f aca="false">D11*Assumptions!$B$14</f>
        <v>50</v>
      </c>
      <c r="F11" s="12" t="n">
        <f aca="false">IF(A11=4,Assumptions!$B$23,0)</f>
        <v>0</v>
      </c>
      <c r="G11" s="12" t="n">
        <f aca="false">D11+E11+F11</f>
        <v>466.666666666667</v>
      </c>
      <c r="H11" s="12" t="n">
        <f aca="false">K10</f>
        <v>1582.19423125589</v>
      </c>
      <c r="I11" s="18" t="n">
        <f aca="false">MAX(Assumptions!$B$25,Assumptions!$B$8-MAX(0,A11-12)*Assumptions!$B$24)</f>
        <v>0.06</v>
      </c>
      <c r="J11" s="12" t="n">
        <f aca="false">H11*I11</f>
        <v>94.9316538753536</v>
      </c>
      <c r="K11" s="12" t="n">
        <f aca="false">H11+G11-J11</f>
        <v>1953.92924404721</v>
      </c>
      <c r="L11" s="12" t="n">
        <f aca="false">K11*Assumptions!$B$21</f>
        <v>1172.35754642832</v>
      </c>
      <c r="M11" s="12" t="n">
        <f aca="false">K11*Assumptions!$B$22</f>
        <v>488.482311011802</v>
      </c>
    </row>
    <row r="12" customFormat="false" ht="15" hidden="false" customHeight="true" outlineLevel="0" collapsed="false">
      <c r="A12" s="1" t="n">
        <v>9</v>
      </c>
      <c r="B12" s="17" t="n">
        <v>1500000</v>
      </c>
      <c r="C12" s="16" t="n">
        <f aca="false">Assumptions!$B$11</f>
        <v>3600</v>
      </c>
      <c r="D12" s="12" t="n">
        <f aca="false">B12/C12</f>
        <v>416.666666666667</v>
      </c>
      <c r="E12" s="12" t="n">
        <f aca="false">D12*Assumptions!$B$14</f>
        <v>50</v>
      </c>
      <c r="F12" s="12" t="n">
        <f aca="false">IF(A12=4,Assumptions!$B$23,0)</f>
        <v>0</v>
      </c>
      <c r="G12" s="12" t="n">
        <f aca="false">D12+E12+F12</f>
        <v>466.666666666667</v>
      </c>
      <c r="H12" s="12" t="n">
        <f aca="false">K11</f>
        <v>1953.92924404721</v>
      </c>
      <c r="I12" s="18" t="n">
        <f aca="false">MAX(Assumptions!$B$25,Assumptions!$B$8-MAX(0,A12-12)*Assumptions!$B$24)</f>
        <v>0.06</v>
      </c>
      <c r="J12" s="12" t="n">
        <f aca="false">H12*I12</f>
        <v>117.235754642832</v>
      </c>
      <c r="K12" s="12" t="n">
        <f aca="false">H12+G12-J12</f>
        <v>2303.36015607104</v>
      </c>
      <c r="L12" s="12" t="n">
        <f aca="false">K12*Assumptions!$B$21</f>
        <v>1382.01609364262</v>
      </c>
      <c r="M12" s="12" t="n">
        <f aca="false">K12*Assumptions!$B$22</f>
        <v>575.84003901776</v>
      </c>
    </row>
    <row r="13" customFormat="false" ht="15" hidden="false" customHeight="true" outlineLevel="0" collapsed="false">
      <c r="A13" s="1" t="n">
        <v>10</v>
      </c>
      <c r="B13" s="17" t="n">
        <v>1500000</v>
      </c>
      <c r="C13" s="16" t="n">
        <f aca="false">Assumptions!$B$11</f>
        <v>3600</v>
      </c>
      <c r="D13" s="12" t="n">
        <f aca="false">B13/C13</f>
        <v>416.666666666667</v>
      </c>
      <c r="E13" s="12" t="n">
        <f aca="false">D13*Assumptions!$B$14</f>
        <v>50</v>
      </c>
      <c r="F13" s="12" t="n">
        <f aca="false">IF(A13=4,Assumptions!$B$23,0)</f>
        <v>0</v>
      </c>
      <c r="G13" s="12" t="n">
        <f aca="false">D13+E13+F13</f>
        <v>466.666666666667</v>
      </c>
      <c r="H13" s="12" t="n">
        <f aca="false">K12</f>
        <v>2303.36015607104</v>
      </c>
      <c r="I13" s="18" t="n">
        <f aca="false">MAX(Assumptions!$B$25,Assumptions!$B$8-MAX(0,A13-12)*Assumptions!$B$24)</f>
        <v>0.06</v>
      </c>
      <c r="J13" s="12" t="n">
        <f aca="false">H13*I13</f>
        <v>138.201609364262</v>
      </c>
      <c r="K13" s="12" t="n">
        <f aca="false">H13+G13-J13</f>
        <v>2631.82521337345</v>
      </c>
      <c r="L13" s="12" t="n">
        <f aca="false">K13*Assumptions!$B$21</f>
        <v>1579.09512802407</v>
      </c>
      <c r="M13" s="12" t="n">
        <f aca="false">K13*Assumptions!$B$22</f>
        <v>657.956303343361</v>
      </c>
    </row>
    <row r="14" customFormat="false" ht="15" hidden="false" customHeight="true" outlineLevel="0" collapsed="false">
      <c r="A14" s="1" t="n">
        <v>11</v>
      </c>
      <c r="B14" s="17" t="n">
        <v>1500000</v>
      </c>
      <c r="C14" s="16" t="n">
        <f aca="false">Assumptions!$B$11</f>
        <v>3600</v>
      </c>
      <c r="D14" s="12" t="n">
        <f aca="false">B14/C14</f>
        <v>416.666666666667</v>
      </c>
      <c r="E14" s="12" t="n">
        <f aca="false">D14*Assumptions!$B$14</f>
        <v>50</v>
      </c>
      <c r="F14" s="12" t="n">
        <f aca="false">IF(A14=4,Assumptions!$B$23,0)</f>
        <v>0</v>
      </c>
      <c r="G14" s="12" t="n">
        <f aca="false">D14+E14+F14</f>
        <v>466.666666666667</v>
      </c>
      <c r="H14" s="12" t="n">
        <f aca="false">K13</f>
        <v>2631.82521337345</v>
      </c>
      <c r="I14" s="18" t="n">
        <f aca="false">MAX(Assumptions!$B$25,Assumptions!$B$8-MAX(0,A14-12)*Assumptions!$B$24)</f>
        <v>0.06</v>
      </c>
      <c r="J14" s="12" t="n">
        <f aca="false">H14*I14</f>
        <v>157.909512802407</v>
      </c>
      <c r="K14" s="12" t="n">
        <f aca="false">H14+G14-J14</f>
        <v>2940.5823672377</v>
      </c>
      <c r="L14" s="12" t="n">
        <f aca="false">K14*Assumptions!$B$21</f>
        <v>1764.34942034262</v>
      </c>
      <c r="M14" s="12" t="n">
        <f aca="false">K14*Assumptions!$B$22</f>
        <v>735.145591809426</v>
      </c>
    </row>
    <row r="15" customFormat="false" ht="15" hidden="false" customHeight="true" outlineLevel="0" collapsed="false">
      <c r="A15" s="1" t="n">
        <v>12</v>
      </c>
      <c r="B15" s="17" t="n">
        <v>1500000</v>
      </c>
      <c r="C15" s="16" t="n">
        <f aca="false">Assumptions!$B$11</f>
        <v>3600</v>
      </c>
      <c r="D15" s="12" t="n">
        <f aca="false">B15/C15</f>
        <v>416.666666666667</v>
      </c>
      <c r="E15" s="12" t="n">
        <f aca="false">D15*Assumptions!$B$14</f>
        <v>50</v>
      </c>
      <c r="F15" s="12" t="n">
        <f aca="false">IF(A15=4,Assumptions!$B$23,0)</f>
        <v>0</v>
      </c>
      <c r="G15" s="12" t="n">
        <f aca="false">D15+E15+F15</f>
        <v>466.666666666667</v>
      </c>
      <c r="H15" s="12" t="n">
        <f aca="false">K14</f>
        <v>2940.5823672377</v>
      </c>
      <c r="I15" s="18" t="n">
        <f aca="false">MAX(Assumptions!$B$25,Assumptions!$B$8-MAX(0,A15-12)*Assumptions!$B$24)</f>
        <v>0.06</v>
      </c>
      <c r="J15" s="12" t="n">
        <f aca="false">H15*I15</f>
        <v>176.434942034262</v>
      </c>
      <c r="K15" s="12" t="n">
        <f aca="false">H15+G15-J15</f>
        <v>3230.81409187011</v>
      </c>
      <c r="L15" s="12" t="n">
        <f aca="false">K15*Assumptions!$B$21</f>
        <v>1938.48845512207</v>
      </c>
      <c r="M15" s="12" t="n">
        <f aca="false">K15*Assumptions!$B$22</f>
        <v>807.703522967527</v>
      </c>
    </row>
    <row r="16" customFormat="false" ht="15" hidden="false" customHeight="true" outlineLevel="0" collapsed="false">
      <c r="A16" s="1" t="n">
        <v>13</v>
      </c>
      <c r="B16" s="17" t="n">
        <v>2500000</v>
      </c>
      <c r="C16" s="16" t="n">
        <f aca="false">Assumptions!$B$11</f>
        <v>3600</v>
      </c>
      <c r="D16" s="12" t="n">
        <f aca="false">B16/C16</f>
        <v>694.444444444445</v>
      </c>
      <c r="E16" s="12" t="n">
        <f aca="false">D16*Assumptions!$B$14</f>
        <v>83.3333333333333</v>
      </c>
      <c r="F16" s="12" t="n">
        <f aca="false">IF(A16=4,Assumptions!$B$23,0)</f>
        <v>0</v>
      </c>
      <c r="G16" s="12" t="n">
        <f aca="false">D16+E16+F16</f>
        <v>777.777777777778</v>
      </c>
      <c r="H16" s="12" t="n">
        <f aca="false">K15</f>
        <v>3230.81409187011</v>
      </c>
      <c r="I16" s="18" t="n">
        <f aca="false">MAX(Assumptions!$B$25,Assumptions!$B$8-MAX(0,A16-12)*Assumptions!$B$24)</f>
        <v>0.0595</v>
      </c>
      <c r="J16" s="12" t="n">
        <f aca="false">H16*I16</f>
        <v>192.233438466271</v>
      </c>
      <c r="K16" s="12" t="n">
        <f aca="false">H16+G16-J16</f>
        <v>3816.35843118162</v>
      </c>
      <c r="L16" s="12" t="n">
        <f aca="false">K16*Assumptions!$B$21</f>
        <v>2289.81505870897</v>
      </c>
      <c r="M16" s="12" t="n">
        <f aca="false">K16*Assumptions!$B$22</f>
        <v>954.089607795404</v>
      </c>
    </row>
    <row r="17" customFormat="false" ht="15" hidden="false" customHeight="true" outlineLevel="0" collapsed="false">
      <c r="A17" s="1" t="n">
        <v>14</v>
      </c>
      <c r="B17" s="17" t="n">
        <v>2500000</v>
      </c>
      <c r="C17" s="16" t="n">
        <f aca="false">Assumptions!$B$11</f>
        <v>3600</v>
      </c>
      <c r="D17" s="12" t="n">
        <f aca="false">B17/C17</f>
        <v>694.444444444445</v>
      </c>
      <c r="E17" s="12" t="n">
        <f aca="false">D17*Assumptions!$B$14</f>
        <v>83.3333333333333</v>
      </c>
      <c r="F17" s="12" t="n">
        <f aca="false">IF(A17=4,Assumptions!$B$23,0)</f>
        <v>0</v>
      </c>
      <c r="G17" s="12" t="n">
        <f aca="false">D17+E17+F17</f>
        <v>777.777777777778</v>
      </c>
      <c r="H17" s="12" t="n">
        <f aca="false">K16</f>
        <v>3816.35843118162</v>
      </c>
      <c r="I17" s="18" t="n">
        <f aca="false">MAX(Assumptions!$B$25,Assumptions!$B$8-MAX(0,A17-12)*Assumptions!$B$24)</f>
        <v>0.059</v>
      </c>
      <c r="J17" s="12" t="n">
        <f aca="false">H17*I17</f>
        <v>225.165147439715</v>
      </c>
      <c r="K17" s="12" t="n">
        <f aca="false">H17+G17-J17</f>
        <v>4368.97106151968</v>
      </c>
      <c r="L17" s="12" t="n">
        <f aca="false">K17*Assumptions!$B$21</f>
        <v>2621.38263691181</v>
      </c>
      <c r="M17" s="12" t="n">
        <f aca="false">K17*Assumptions!$B$22</f>
        <v>1092.24276537992</v>
      </c>
    </row>
    <row r="18" customFormat="false" ht="15" hidden="false" customHeight="true" outlineLevel="0" collapsed="false">
      <c r="A18" s="1" t="n">
        <v>15</v>
      </c>
      <c r="B18" s="17" t="n">
        <v>2500000</v>
      </c>
      <c r="C18" s="16" t="n">
        <f aca="false">Assumptions!$B$11</f>
        <v>3600</v>
      </c>
      <c r="D18" s="12" t="n">
        <f aca="false">B18/C18</f>
        <v>694.444444444445</v>
      </c>
      <c r="E18" s="12" t="n">
        <f aca="false">D18*Assumptions!$B$14</f>
        <v>83.3333333333333</v>
      </c>
      <c r="F18" s="12" t="n">
        <f aca="false">IF(A18=4,Assumptions!$B$23,0)</f>
        <v>0</v>
      </c>
      <c r="G18" s="12" t="n">
        <f aca="false">D18+E18+F18</f>
        <v>777.777777777778</v>
      </c>
      <c r="H18" s="12" t="n">
        <f aca="false">K17</f>
        <v>4368.97106151968</v>
      </c>
      <c r="I18" s="18" t="n">
        <f aca="false">MAX(Assumptions!$B$25,Assumptions!$B$8-MAX(0,A18-12)*Assumptions!$B$24)</f>
        <v>0.0585</v>
      </c>
      <c r="J18" s="12" t="n">
        <f aca="false">H18*I18</f>
        <v>255.584807098901</v>
      </c>
      <c r="K18" s="12" t="n">
        <f aca="false">H18+G18-J18</f>
        <v>4891.16403219855</v>
      </c>
      <c r="L18" s="12" t="n">
        <f aca="false">K18*Assumptions!$B$21</f>
        <v>2934.69841931913</v>
      </c>
      <c r="M18" s="12" t="n">
        <f aca="false">K18*Assumptions!$B$22</f>
        <v>1222.79100804964</v>
      </c>
    </row>
    <row r="19" customFormat="false" ht="15" hidden="false" customHeight="true" outlineLevel="0" collapsed="false">
      <c r="A19" s="1" t="n">
        <v>16</v>
      </c>
      <c r="B19" s="17" t="n">
        <v>2500000</v>
      </c>
      <c r="C19" s="16" t="n">
        <f aca="false">Assumptions!$B$11</f>
        <v>3600</v>
      </c>
      <c r="D19" s="12" t="n">
        <f aca="false">B19/C19</f>
        <v>694.444444444445</v>
      </c>
      <c r="E19" s="12" t="n">
        <f aca="false">D19*Assumptions!$B$14</f>
        <v>83.3333333333333</v>
      </c>
      <c r="F19" s="12" t="n">
        <f aca="false">IF(A19=4,Assumptions!$B$23,0)</f>
        <v>0</v>
      </c>
      <c r="G19" s="12" t="n">
        <f aca="false">D19+E19+F19</f>
        <v>777.777777777778</v>
      </c>
      <c r="H19" s="12" t="n">
        <f aca="false">K18</f>
        <v>4891.16403219855</v>
      </c>
      <c r="I19" s="18" t="n">
        <f aca="false">MAX(Assumptions!$B$25,Assumptions!$B$8-MAX(0,A19-12)*Assumptions!$B$24)</f>
        <v>0.058</v>
      </c>
      <c r="J19" s="12" t="n">
        <f aca="false">H19*I19</f>
        <v>283.687513867516</v>
      </c>
      <c r="K19" s="12" t="n">
        <f aca="false">H19+G19-J19</f>
        <v>5385.25429610882</v>
      </c>
      <c r="L19" s="12" t="n">
        <f aca="false">K19*Assumptions!$B$21</f>
        <v>3231.15257766529</v>
      </c>
      <c r="M19" s="12" t="n">
        <f aca="false">K19*Assumptions!$B$22</f>
        <v>1346.3135740272</v>
      </c>
    </row>
    <row r="20" customFormat="false" ht="15" hidden="false" customHeight="true" outlineLevel="0" collapsed="false">
      <c r="A20" s="1" t="n">
        <v>17</v>
      </c>
      <c r="B20" s="17" t="n">
        <v>2500000</v>
      </c>
      <c r="C20" s="16" t="n">
        <f aca="false">Assumptions!$B$11</f>
        <v>3600</v>
      </c>
      <c r="D20" s="12" t="n">
        <f aca="false">B20/C20</f>
        <v>694.444444444445</v>
      </c>
      <c r="E20" s="12" t="n">
        <f aca="false">D20*Assumptions!$B$14</f>
        <v>83.3333333333333</v>
      </c>
      <c r="F20" s="12" t="n">
        <f aca="false">IF(A20=4,Assumptions!$B$23,0)</f>
        <v>0</v>
      </c>
      <c r="G20" s="12" t="n">
        <f aca="false">D20+E20+F20</f>
        <v>777.777777777778</v>
      </c>
      <c r="H20" s="12" t="n">
        <f aca="false">K19</f>
        <v>5385.25429610882</v>
      </c>
      <c r="I20" s="18" t="n">
        <f aca="false">MAX(Assumptions!$B$25,Assumptions!$B$8-MAX(0,A20-12)*Assumptions!$B$24)</f>
        <v>0.0575</v>
      </c>
      <c r="J20" s="12" t="n">
        <f aca="false">H20*I20</f>
        <v>309.652122026257</v>
      </c>
      <c r="K20" s="12" t="n">
        <f aca="false">H20+G20-J20</f>
        <v>5853.37995186034</v>
      </c>
      <c r="L20" s="12" t="n">
        <f aca="false">K20*Assumptions!$B$21</f>
        <v>3512.0279711162</v>
      </c>
      <c r="M20" s="12" t="n">
        <f aca="false">K20*Assumptions!$B$22</f>
        <v>1463.34498796508</v>
      </c>
    </row>
    <row r="21" customFormat="false" ht="15" hidden="false" customHeight="true" outlineLevel="0" collapsed="false">
      <c r="A21" s="1" t="n">
        <v>18</v>
      </c>
      <c r="B21" s="17" t="n">
        <v>2500000</v>
      </c>
      <c r="C21" s="16" t="n">
        <f aca="false">Assumptions!$B$11</f>
        <v>3600</v>
      </c>
      <c r="D21" s="12" t="n">
        <f aca="false">B21/C21</f>
        <v>694.444444444445</v>
      </c>
      <c r="E21" s="12" t="n">
        <f aca="false">D21*Assumptions!$B$14</f>
        <v>83.3333333333333</v>
      </c>
      <c r="F21" s="12" t="n">
        <f aca="false">IF(A21=4,Assumptions!$B$23,0)</f>
        <v>0</v>
      </c>
      <c r="G21" s="12" t="n">
        <f aca="false">D21+E21+F21</f>
        <v>777.777777777778</v>
      </c>
      <c r="H21" s="12" t="n">
        <f aca="false">K20</f>
        <v>5853.37995186034</v>
      </c>
      <c r="I21" s="18" t="n">
        <f aca="false">MAX(Assumptions!$B$25,Assumptions!$B$8-MAX(0,A21-12)*Assumptions!$B$24)</f>
        <v>0.057</v>
      </c>
      <c r="J21" s="12" t="n">
        <f aca="false">H21*I21</f>
        <v>333.642657256039</v>
      </c>
      <c r="K21" s="12" t="n">
        <f aca="false">H21+G21-J21</f>
        <v>6297.51507238208</v>
      </c>
      <c r="L21" s="12" t="n">
        <f aca="false">K21*Assumptions!$B$21</f>
        <v>3778.50904342925</v>
      </c>
      <c r="M21" s="12" t="n">
        <f aca="false">K21*Assumptions!$B$22</f>
        <v>1574.37876809552</v>
      </c>
    </row>
    <row r="22" customFormat="false" ht="15" hidden="false" customHeight="true" outlineLevel="0" collapsed="false">
      <c r="A22" s="1" t="n">
        <v>19</v>
      </c>
      <c r="B22" s="17" t="n">
        <v>2500000</v>
      </c>
      <c r="C22" s="16" t="n">
        <f aca="false">Assumptions!$B$11</f>
        <v>3600</v>
      </c>
      <c r="D22" s="12" t="n">
        <f aca="false">B22/C22</f>
        <v>694.444444444445</v>
      </c>
      <c r="E22" s="12" t="n">
        <f aca="false">D22*Assumptions!$B$14</f>
        <v>83.3333333333333</v>
      </c>
      <c r="F22" s="12" t="n">
        <f aca="false">IF(A22=4,Assumptions!$B$23,0)</f>
        <v>0</v>
      </c>
      <c r="G22" s="12" t="n">
        <f aca="false">D22+E22+F22</f>
        <v>777.777777777778</v>
      </c>
      <c r="H22" s="12" t="n">
        <f aca="false">K21</f>
        <v>6297.51507238208</v>
      </c>
      <c r="I22" s="18" t="n">
        <f aca="false">MAX(Assumptions!$B$25,Assumptions!$B$8-MAX(0,A22-12)*Assumptions!$B$24)</f>
        <v>0.0565</v>
      </c>
      <c r="J22" s="12" t="n">
        <f aca="false">H22*I22</f>
        <v>355.809601589587</v>
      </c>
      <c r="K22" s="12" t="n">
        <f aca="false">H22+G22-J22</f>
        <v>6719.48324857027</v>
      </c>
      <c r="L22" s="12" t="n">
        <f aca="false">K22*Assumptions!$B$21</f>
        <v>4031.68994914216</v>
      </c>
      <c r="M22" s="12" t="n">
        <f aca="false">K22*Assumptions!$B$22</f>
        <v>1679.87081214257</v>
      </c>
    </row>
    <row r="23" customFormat="false" ht="15" hidden="false" customHeight="true" outlineLevel="0" collapsed="false">
      <c r="A23" s="1" t="n">
        <v>20</v>
      </c>
      <c r="B23" s="17" t="n">
        <v>2500000</v>
      </c>
      <c r="C23" s="16" t="n">
        <f aca="false">Assumptions!$B$11</f>
        <v>3600</v>
      </c>
      <c r="D23" s="12" t="n">
        <f aca="false">B23/C23</f>
        <v>694.444444444445</v>
      </c>
      <c r="E23" s="12" t="n">
        <f aca="false">D23*Assumptions!$B$14</f>
        <v>83.3333333333333</v>
      </c>
      <c r="F23" s="12" t="n">
        <f aca="false">IF(A23=4,Assumptions!$B$23,0)</f>
        <v>0</v>
      </c>
      <c r="G23" s="12" t="n">
        <f aca="false">D23+E23+F23</f>
        <v>777.777777777778</v>
      </c>
      <c r="H23" s="12" t="n">
        <f aca="false">K22</f>
        <v>6719.48324857027</v>
      </c>
      <c r="I23" s="18" t="n">
        <f aca="false">MAX(Assumptions!$B$25,Assumptions!$B$8-MAX(0,A23-12)*Assumptions!$B$24)</f>
        <v>0.056</v>
      </c>
      <c r="J23" s="12" t="n">
        <f aca="false">H23*I23</f>
        <v>376.291061919935</v>
      </c>
      <c r="K23" s="12" t="n">
        <f aca="false">H23+G23-J23</f>
        <v>7120.96996442811</v>
      </c>
      <c r="L23" s="12" t="n">
        <f aca="false">K23*Assumptions!$B$21</f>
        <v>4272.58197865687</v>
      </c>
      <c r="M23" s="12" t="n">
        <f aca="false">K23*Assumptions!$B$22</f>
        <v>1780.24249110703</v>
      </c>
    </row>
    <row r="24" customFormat="false" ht="15" hidden="false" customHeight="true" outlineLevel="0" collapsed="false">
      <c r="A24" s="1" t="n">
        <v>21</v>
      </c>
      <c r="B24" s="17" t="n">
        <v>2500000</v>
      </c>
      <c r="C24" s="16" t="n">
        <f aca="false">Assumptions!$B$11</f>
        <v>3600</v>
      </c>
      <c r="D24" s="12" t="n">
        <f aca="false">B24/C24</f>
        <v>694.444444444445</v>
      </c>
      <c r="E24" s="12" t="n">
        <f aca="false">D24*Assumptions!$B$14</f>
        <v>83.3333333333333</v>
      </c>
      <c r="F24" s="12" t="n">
        <f aca="false">IF(A24=4,Assumptions!$B$23,0)</f>
        <v>0</v>
      </c>
      <c r="G24" s="12" t="n">
        <f aca="false">D24+E24+F24</f>
        <v>777.777777777778</v>
      </c>
      <c r="H24" s="12" t="n">
        <f aca="false">K23</f>
        <v>7120.96996442811</v>
      </c>
      <c r="I24" s="18" t="n">
        <f aca="false">MAX(Assumptions!$B$25,Assumptions!$B$8-MAX(0,A24-12)*Assumptions!$B$24)</f>
        <v>0.0555</v>
      </c>
      <c r="J24" s="12" t="n">
        <f aca="false">H24*I24</f>
        <v>395.21383302576</v>
      </c>
      <c r="K24" s="12" t="n">
        <f aca="false">H24+G24-J24</f>
        <v>7503.53390918013</v>
      </c>
      <c r="L24" s="12" t="n">
        <f aca="false">K24*Assumptions!$B$21</f>
        <v>4502.12034550808</v>
      </c>
      <c r="M24" s="12" t="n">
        <f aca="false">K24*Assumptions!$B$22</f>
        <v>1875.88347729503</v>
      </c>
    </row>
    <row r="25" customFormat="false" ht="15" hidden="false" customHeight="true" outlineLevel="0" collapsed="false">
      <c r="A25" s="1" t="n">
        <v>22</v>
      </c>
      <c r="B25" s="17" t="n">
        <v>2500000</v>
      </c>
      <c r="C25" s="16" t="n">
        <f aca="false">Assumptions!$B$11</f>
        <v>3600</v>
      </c>
      <c r="D25" s="12" t="n">
        <f aca="false">B25/C25</f>
        <v>694.444444444445</v>
      </c>
      <c r="E25" s="12" t="n">
        <f aca="false">D25*Assumptions!$B$14</f>
        <v>83.3333333333333</v>
      </c>
      <c r="F25" s="12" t="n">
        <f aca="false">IF(A25=4,Assumptions!$B$23,0)</f>
        <v>0</v>
      </c>
      <c r="G25" s="12" t="n">
        <f aca="false">D25+E25+F25</f>
        <v>777.777777777778</v>
      </c>
      <c r="H25" s="12" t="n">
        <f aca="false">K24</f>
        <v>7503.53390918013</v>
      </c>
      <c r="I25" s="18" t="n">
        <f aca="false">MAX(Assumptions!$B$25,Assumptions!$B$8-MAX(0,A25-12)*Assumptions!$B$24)</f>
        <v>0.055</v>
      </c>
      <c r="J25" s="12" t="n">
        <f aca="false">H25*I25</f>
        <v>412.694365004907</v>
      </c>
      <c r="K25" s="12" t="n">
        <f aca="false">H25+G25-J25</f>
        <v>7868.617321953</v>
      </c>
      <c r="L25" s="12" t="n">
        <f aca="false">K25*Assumptions!$B$21</f>
        <v>4721.1703931718</v>
      </c>
      <c r="M25" s="12" t="n">
        <f aca="false">K25*Assumptions!$B$22</f>
        <v>1967.15433048825</v>
      </c>
    </row>
    <row r="26" customFormat="false" ht="15" hidden="false" customHeight="true" outlineLevel="0" collapsed="false">
      <c r="A26" s="1" t="n">
        <v>23</v>
      </c>
      <c r="B26" s="17" t="n">
        <v>2500000</v>
      </c>
      <c r="C26" s="16" t="n">
        <f aca="false">Assumptions!$B$11</f>
        <v>3600</v>
      </c>
      <c r="D26" s="12" t="n">
        <f aca="false">B26/C26</f>
        <v>694.444444444445</v>
      </c>
      <c r="E26" s="12" t="n">
        <f aca="false">D26*Assumptions!$B$14</f>
        <v>83.3333333333333</v>
      </c>
      <c r="F26" s="12" t="n">
        <f aca="false">IF(A26=4,Assumptions!$B$23,0)</f>
        <v>0</v>
      </c>
      <c r="G26" s="12" t="n">
        <f aca="false">D26+E26+F26</f>
        <v>777.777777777778</v>
      </c>
      <c r="H26" s="12" t="n">
        <f aca="false">K25</f>
        <v>7868.617321953</v>
      </c>
      <c r="I26" s="18" t="n">
        <f aca="false">MAX(Assumptions!$B$25,Assumptions!$B$8-MAX(0,A26-12)*Assumptions!$B$24)</f>
        <v>0.0545</v>
      </c>
      <c r="J26" s="12" t="n">
        <f aca="false">H26*I26</f>
        <v>428.839644046438</v>
      </c>
      <c r="K26" s="12" t="n">
        <f aca="false">H26+G26-J26</f>
        <v>8217.55545568434</v>
      </c>
      <c r="L26" s="12" t="n">
        <f aca="false">K26*Assumptions!$B$21</f>
        <v>4930.5332734106</v>
      </c>
      <c r="M26" s="12" t="n">
        <f aca="false">K26*Assumptions!$B$22</f>
        <v>2054.38886392108</v>
      </c>
    </row>
    <row r="27" customFormat="false" ht="15" hidden="false" customHeight="true" outlineLevel="0" collapsed="false">
      <c r="A27" s="1" t="n">
        <v>24</v>
      </c>
      <c r="B27" s="17" t="n">
        <v>2500000</v>
      </c>
      <c r="C27" s="16" t="n">
        <f aca="false">Assumptions!$B$11</f>
        <v>3600</v>
      </c>
      <c r="D27" s="12" t="n">
        <f aca="false">B27/C27</f>
        <v>694.444444444445</v>
      </c>
      <c r="E27" s="12" t="n">
        <f aca="false">D27*Assumptions!$B$14</f>
        <v>83.3333333333333</v>
      </c>
      <c r="F27" s="12" t="n">
        <f aca="false">IF(A27=4,Assumptions!$B$23,0)</f>
        <v>0</v>
      </c>
      <c r="G27" s="12" t="n">
        <f aca="false">D27+E27+F27</f>
        <v>777.777777777778</v>
      </c>
      <c r="H27" s="12" t="n">
        <f aca="false">K26</f>
        <v>8217.55545568434</v>
      </c>
      <c r="I27" s="18" t="n">
        <f aca="false">MAX(Assumptions!$B$25,Assumptions!$B$8-MAX(0,A27-12)*Assumptions!$B$24)</f>
        <v>0.054</v>
      </c>
      <c r="J27" s="12" t="n">
        <f aca="false">H27*I27</f>
        <v>443.747994606954</v>
      </c>
      <c r="K27" s="12" t="n">
        <f aca="false">H27+G27-J27</f>
        <v>8551.58523885516</v>
      </c>
      <c r="L27" s="12" t="n">
        <f aca="false">K27*Assumptions!$B$21</f>
        <v>5130.9511433131</v>
      </c>
      <c r="M27" s="12" t="n">
        <f aca="false">K27*Assumptions!$B$22</f>
        <v>2137.89630971379</v>
      </c>
    </row>
    <row r="28" customFormat="false" ht="15" hidden="false" customHeight="true" outlineLevel="0" collapsed="false">
      <c r="A28" s="1" t="n">
        <v>25</v>
      </c>
      <c r="B28" s="17" t="n">
        <v>3500000</v>
      </c>
      <c r="C28" s="16" t="n">
        <f aca="false">Assumptions!$B$11</f>
        <v>3600</v>
      </c>
      <c r="D28" s="12" t="n">
        <f aca="false">B28/C28</f>
        <v>972.222222222222</v>
      </c>
      <c r="E28" s="12" t="n">
        <f aca="false">D28*Assumptions!$B$14</f>
        <v>116.666666666667</v>
      </c>
      <c r="F28" s="12" t="n">
        <f aca="false">IF(A28=4,Assumptions!$B$23,0)</f>
        <v>0</v>
      </c>
      <c r="G28" s="12" t="n">
        <f aca="false">D28+E28+F28</f>
        <v>1088.88888888889</v>
      </c>
      <c r="H28" s="12" t="n">
        <f aca="false">K27</f>
        <v>8551.58523885516</v>
      </c>
      <c r="I28" s="18" t="n">
        <f aca="false">MAX(Assumptions!$B$25,Assumptions!$B$8-MAX(0,A28-12)*Assumptions!$B$24)</f>
        <v>0.0535</v>
      </c>
      <c r="J28" s="12" t="n">
        <f aca="false">H28*I28</f>
        <v>457.509810278751</v>
      </c>
      <c r="K28" s="12" t="n">
        <f aca="false">H28+G28-J28</f>
        <v>9182.9643174653</v>
      </c>
      <c r="L28" s="12" t="n">
        <f aca="false">K28*Assumptions!$B$21</f>
        <v>5509.77859047918</v>
      </c>
      <c r="M28" s="12" t="n">
        <f aca="false">K28*Assumptions!$B$22</f>
        <v>2295.74107936632</v>
      </c>
    </row>
    <row r="29" customFormat="false" ht="15" hidden="false" customHeight="true" outlineLevel="0" collapsed="false">
      <c r="A29" s="1" t="n">
        <v>26</v>
      </c>
      <c r="B29" s="17" t="n">
        <v>3500000</v>
      </c>
      <c r="C29" s="16" t="n">
        <f aca="false">Assumptions!$B$11</f>
        <v>3600</v>
      </c>
      <c r="D29" s="12" t="n">
        <f aca="false">B29/C29</f>
        <v>972.222222222222</v>
      </c>
      <c r="E29" s="12" t="n">
        <f aca="false">D29*Assumptions!$B$14</f>
        <v>116.666666666667</v>
      </c>
      <c r="F29" s="12" t="n">
        <f aca="false">IF(A29=4,Assumptions!$B$23,0)</f>
        <v>0</v>
      </c>
      <c r="G29" s="12" t="n">
        <f aca="false">D29+E29+F29</f>
        <v>1088.88888888889</v>
      </c>
      <c r="H29" s="12" t="n">
        <f aca="false">K28</f>
        <v>9182.9643174653</v>
      </c>
      <c r="I29" s="18" t="n">
        <f aca="false">MAX(Assumptions!$B$25,Assumptions!$B$8-MAX(0,A29-12)*Assumptions!$B$24)</f>
        <v>0.053</v>
      </c>
      <c r="J29" s="12" t="n">
        <f aca="false">H29*I29</f>
        <v>486.697108825661</v>
      </c>
      <c r="K29" s="12" t="n">
        <f aca="false">H29+G29-J29</f>
        <v>9785.15609752853</v>
      </c>
      <c r="L29" s="12" t="n">
        <f aca="false">K29*Assumptions!$B$21</f>
        <v>5871.09365851712</v>
      </c>
      <c r="M29" s="12" t="n">
        <f aca="false">K29*Assumptions!$B$22</f>
        <v>2446.28902438213</v>
      </c>
    </row>
    <row r="30" customFormat="false" ht="15" hidden="false" customHeight="true" outlineLevel="0" collapsed="false">
      <c r="A30" s="1" t="n">
        <v>27</v>
      </c>
      <c r="B30" s="17" t="n">
        <v>3500000</v>
      </c>
      <c r="C30" s="16" t="n">
        <f aca="false">Assumptions!$B$11</f>
        <v>3600</v>
      </c>
      <c r="D30" s="12" t="n">
        <f aca="false">B30/C30</f>
        <v>972.222222222222</v>
      </c>
      <c r="E30" s="12" t="n">
        <f aca="false">D30*Assumptions!$B$14</f>
        <v>116.666666666667</v>
      </c>
      <c r="F30" s="12" t="n">
        <f aca="false">IF(A30=4,Assumptions!$B$23,0)</f>
        <v>0</v>
      </c>
      <c r="G30" s="12" t="n">
        <f aca="false">D30+E30+F30</f>
        <v>1088.88888888889</v>
      </c>
      <c r="H30" s="12" t="n">
        <f aca="false">K29</f>
        <v>9785.15609752853</v>
      </c>
      <c r="I30" s="18" t="n">
        <f aca="false">MAX(Assumptions!$B$25,Assumptions!$B$8-MAX(0,A30-12)*Assumptions!$B$24)</f>
        <v>0.0525</v>
      </c>
      <c r="J30" s="12" t="n">
        <f aca="false">H30*I30</f>
        <v>513.720695120248</v>
      </c>
      <c r="K30" s="12" t="n">
        <f aca="false">H30+G30-J30</f>
        <v>10360.3242912972</v>
      </c>
      <c r="L30" s="12" t="n">
        <f aca="false">K30*Assumptions!$B$21</f>
        <v>6216.1945747783</v>
      </c>
      <c r="M30" s="12" t="n">
        <f aca="false">K30*Assumptions!$B$22</f>
        <v>2590.08107282429</v>
      </c>
    </row>
    <row r="31" customFormat="false" ht="15" hidden="false" customHeight="true" outlineLevel="0" collapsed="false">
      <c r="A31" s="1" t="n">
        <v>28</v>
      </c>
      <c r="B31" s="17" t="n">
        <v>3500000</v>
      </c>
      <c r="C31" s="16" t="n">
        <f aca="false">Assumptions!$B$11</f>
        <v>3600</v>
      </c>
      <c r="D31" s="12" t="n">
        <f aca="false">B31/C31</f>
        <v>972.222222222222</v>
      </c>
      <c r="E31" s="12" t="n">
        <f aca="false">D31*Assumptions!$B$14</f>
        <v>116.666666666667</v>
      </c>
      <c r="F31" s="12" t="n">
        <f aca="false">IF(A31=4,Assumptions!$B$23,0)</f>
        <v>0</v>
      </c>
      <c r="G31" s="12" t="n">
        <f aca="false">D31+E31+F31</f>
        <v>1088.88888888889</v>
      </c>
      <c r="H31" s="12" t="n">
        <f aca="false">K30</f>
        <v>10360.3242912972</v>
      </c>
      <c r="I31" s="18" t="n">
        <f aca="false">MAX(Assumptions!$B$25,Assumptions!$B$8-MAX(0,A31-12)*Assumptions!$B$24)</f>
        <v>0.052</v>
      </c>
      <c r="J31" s="12" t="n">
        <f aca="false">H31*I31</f>
        <v>538.736863147453</v>
      </c>
      <c r="K31" s="12" t="n">
        <f aca="false">H31+G31-J31</f>
        <v>10910.4763170386</v>
      </c>
      <c r="L31" s="12" t="n">
        <f aca="false">K31*Assumptions!$B$21</f>
        <v>6546.28579022316</v>
      </c>
      <c r="M31" s="12" t="n">
        <f aca="false">K31*Assumptions!$B$22</f>
        <v>2727.61907925965</v>
      </c>
    </row>
    <row r="32" customFormat="false" ht="15" hidden="false" customHeight="true" outlineLevel="0" collapsed="false">
      <c r="A32" s="1" t="n">
        <v>29</v>
      </c>
      <c r="B32" s="17" t="n">
        <v>3500000</v>
      </c>
      <c r="C32" s="16" t="n">
        <f aca="false">Assumptions!$B$11</f>
        <v>3600</v>
      </c>
      <c r="D32" s="12" t="n">
        <f aca="false">B32/C32</f>
        <v>972.222222222222</v>
      </c>
      <c r="E32" s="12" t="n">
        <f aca="false">D32*Assumptions!$B$14</f>
        <v>116.666666666667</v>
      </c>
      <c r="F32" s="12" t="n">
        <f aca="false">IF(A32=4,Assumptions!$B$23,0)</f>
        <v>0</v>
      </c>
      <c r="G32" s="12" t="n">
        <f aca="false">D32+E32+F32</f>
        <v>1088.88888888889</v>
      </c>
      <c r="H32" s="12" t="n">
        <f aca="false">K31</f>
        <v>10910.4763170386</v>
      </c>
      <c r="I32" s="18" t="n">
        <f aca="false">MAX(Assumptions!$B$25,Assumptions!$B$8-MAX(0,A32-12)*Assumptions!$B$24)</f>
        <v>0.0515</v>
      </c>
      <c r="J32" s="12" t="n">
        <f aca="false">H32*I32</f>
        <v>561.889530327488</v>
      </c>
      <c r="K32" s="12" t="n">
        <f aca="false">H32+G32-J32</f>
        <v>11437.4756756</v>
      </c>
      <c r="L32" s="12" t="n">
        <f aca="false">K32*Assumptions!$B$21</f>
        <v>6862.48540536</v>
      </c>
      <c r="M32" s="12" t="n">
        <f aca="false">K32*Assumptions!$B$22</f>
        <v>2859.3689189</v>
      </c>
    </row>
    <row r="33" customFormat="false" ht="15" hidden="false" customHeight="true" outlineLevel="0" collapsed="false">
      <c r="A33" s="1" t="n">
        <v>30</v>
      </c>
      <c r="B33" s="17" t="n">
        <v>3500000</v>
      </c>
      <c r="C33" s="16" t="n">
        <f aca="false">Assumptions!$B$11</f>
        <v>3600</v>
      </c>
      <c r="D33" s="12" t="n">
        <f aca="false">B33/C33</f>
        <v>972.222222222222</v>
      </c>
      <c r="E33" s="12" t="n">
        <f aca="false">D33*Assumptions!$B$14</f>
        <v>116.666666666667</v>
      </c>
      <c r="F33" s="12" t="n">
        <f aca="false">IF(A33=4,Assumptions!$B$23,0)</f>
        <v>0</v>
      </c>
      <c r="G33" s="12" t="n">
        <f aca="false">D33+E33+F33</f>
        <v>1088.88888888889</v>
      </c>
      <c r="H33" s="12" t="n">
        <f aca="false">K32</f>
        <v>11437.4756756</v>
      </c>
      <c r="I33" s="18" t="n">
        <f aca="false">MAX(Assumptions!$B$25,Assumptions!$B$8-MAX(0,A33-12)*Assumptions!$B$24)</f>
        <v>0.051</v>
      </c>
      <c r="J33" s="12" t="n">
        <f aca="false">H33*I33</f>
        <v>583.3112594556</v>
      </c>
      <c r="K33" s="12" t="n">
        <f aca="false">H33+G33-J33</f>
        <v>11943.0533050333</v>
      </c>
      <c r="L33" s="12" t="n">
        <f aca="false">K33*Assumptions!$B$21</f>
        <v>7165.83198301997</v>
      </c>
      <c r="M33" s="12" t="n">
        <f aca="false">K33*Assumptions!$B$22</f>
        <v>2985.76332625832</v>
      </c>
    </row>
    <row r="34" customFormat="false" ht="15" hidden="false" customHeight="true" outlineLevel="0" collapsed="false">
      <c r="A34" s="1" t="n">
        <v>31</v>
      </c>
      <c r="B34" s="17" t="n">
        <v>3500000</v>
      </c>
      <c r="C34" s="16" t="n">
        <f aca="false">Assumptions!$B$11</f>
        <v>3600</v>
      </c>
      <c r="D34" s="12" t="n">
        <f aca="false">B34/C34</f>
        <v>972.222222222222</v>
      </c>
      <c r="E34" s="12" t="n">
        <f aca="false">D34*Assumptions!$B$14</f>
        <v>116.666666666667</v>
      </c>
      <c r="F34" s="12" t="n">
        <f aca="false">IF(A34=4,Assumptions!$B$23,0)</f>
        <v>0</v>
      </c>
      <c r="G34" s="12" t="n">
        <f aca="false">D34+E34+F34</f>
        <v>1088.88888888889</v>
      </c>
      <c r="H34" s="12" t="n">
        <f aca="false">K33</f>
        <v>11943.0533050333</v>
      </c>
      <c r="I34" s="18" t="n">
        <f aca="false">MAX(Assumptions!$B$25,Assumptions!$B$8-MAX(0,A34-12)*Assumptions!$B$24)</f>
        <v>0.0505</v>
      </c>
      <c r="J34" s="12" t="n">
        <f aca="false">H34*I34</f>
        <v>603.124191904181</v>
      </c>
      <c r="K34" s="12" t="n">
        <f aca="false">H34+G34-J34</f>
        <v>12428.818002018</v>
      </c>
      <c r="L34" s="12" t="n">
        <f aca="false">K34*Assumptions!$B$21</f>
        <v>7457.2908012108</v>
      </c>
      <c r="M34" s="12" t="n">
        <f aca="false">K34*Assumptions!$B$22</f>
        <v>3107.2045005045</v>
      </c>
    </row>
    <row r="35" customFormat="false" ht="15" hidden="false" customHeight="true" outlineLevel="0" collapsed="false">
      <c r="A35" s="1" t="n">
        <v>32</v>
      </c>
      <c r="B35" s="17" t="n">
        <v>3500000</v>
      </c>
      <c r="C35" s="16" t="n">
        <f aca="false">Assumptions!$B$11</f>
        <v>3600</v>
      </c>
      <c r="D35" s="12" t="n">
        <f aca="false">B35/C35</f>
        <v>972.222222222222</v>
      </c>
      <c r="E35" s="12" t="n">
        <f aca="false">D35*Assumptions!$B$14</f>
        <v>116.666666666667</v>
      </c>
      <c r="F35" s="12" t="n">
        <f aca="false">IF(A35=4,Assumptions!$B$23,0)</f>
        <v>0</v>
      </c>
      <c r="G35" s="12" t="n">
        <f aca="false">D35+E35+F35</f>
        <v>1088.88888888889</v>
      </c>
      <c r="H35" s="12" t="n">
        <f aca="false">K34</f>
        <v>12428.818002018</v>
      </c>
      <c r="I35" s="18" t="n">
        <f aca="false">MAX(Assumptions!$B$25,Assumptions!$B$8-MAX(0,A35-12)*Assumptions!$B$24)</f>
        <v>0.05</v>
      </c>
      <c r="J35" s="12" t="n">
        <f aca="false">H35*I35</f>
        <v>621.4409001009</v>
      </c>
      <c r="K35" s="12" t="n">
        <f aca="false">H35+G35-J35</f>
        <v>12896.265990806</v>
      </c>
      <c r="L35" s="12" t="n">
        <f aca="false">K35*Assumptions!$B$21</f>
        <v>7737.75959448359</v>
      </c>
      <c r="M35" s="12" t="n">
        <f aca="false">K35*Assumptions!$B$22</f>
        <v>3224.0664977015</v>
      </c>
    </row>
    <row r="36" customFormat="false" ht="15" hidden="false" customHeight="true" outlineLevel="0" collapsed="false">
      <c r="A36" s="1" t="n">
        <v>33</v>
      </c>
      <c r="B36" s="17" t="n">
        <v>3500000</v>
      </c>
      <c r="C36" s="16" t="n">
        <f aca="false">Assumptions!$B$11</f>
        <v>3600</v>
      </c>
      <c r="D36" s="12" t="n">
        <f aca="false">B36/C36</f>
        <v>972.222222222222</v>
      </c>
      <c r="E36" s="12" t="n">
        <f aca="false">D36*Assumptions!$B$14</f>
        <v>116.666666666667</v>
      </c>
      <c r="F36" s="12" t="n">
        <f aca="false">IF(A36=4,Assumptions!$B$23,0)</f>
        <v>0</v>
      </c>
      <c r="G36" s="12" t="n">
        <f aca="false">D36+E36+F36</f>
        <v>1088.88888888889</v>
      </c>
      <c r="H36" s="12" t="n">
        <f aca="false">K35</f>
        <v>12896.265990806</v>
      </c>
      <c r="I36" s="18" t="n">
        <f aca="false">MAX(Assumptions!$B$25,Assumptions!$B$8-MAX(0,A36-12)*Assumptions!$B$24)</f>
        <v>0.05</v>
      </c>
      <c r="J36" s="12" t="n">
        <f aca="false">H36*I36</f>
        <v>644.813299540299</v>
      </c>
      <c r="K36" s="12" t="n">
        <f aca="false">H36+G36-J36</f>
        <v>13340.3415801546</v>
      </c>
      <c r="L36" s="12" t="n">
        <f aca="false">K36*Assumptions!$B$21</f>
        <v>8004.20494809275</v>
      </c>
      <c r="M36" s="12" t="n">
        <f aca="false">K36*Assumptions!$B$22</f>
        <v>3335.08539503864</v>
      </c>
    </row>
    <row r="37" customFormat="false" ht="15" hidden="false" customHeight="true" outlineLevel="0" collapsed="false">
      <c r="A37" s="1" t="n">
        <v>34</v>
      </c>
      <c r="B37" s="17" t="n">
        <v>3500000</v>
      </c>
      <c r="C37" s="16" t="n">
        <f aca="false">Assumptions!$B$11</f>
        <v>3600</v>
      </c>
      <c r="D37" s="12" t="n">
        <f aca="false">B37/C37</f>
        <v>972.222222222222</v>
      </c>
      <c r="E37" s="12" t="n">
        <f aca="false">D37*Assumptions!$B$14</f>
        <v>116.666666666667</v>
      </c>
      <c r="F37" s="12" t="n">
        <f aca="false">IF(A37=4,Assumptions!$B$23,0)</f>
        <v>0</v>
      </c>
      <c r="G37" s="12" t="n">
        <f aca="false">D37+E37+F37</f>
        <v>1088.88888888889</v>
      </c>
      <c r="H37" s="12" t="n">
        <f aca="false">K36</f>
        <v>13340.3415801546</v>
      </c>
      <c r="I37" s="18" t="n">
        <f aca="false">MAX(Assumptions!$B$25,Assumptions!$B$8-MAX(0,A37-12)*Assumptions!$B$24)</f>
        <v>0.05</v>
      </c>
      <c r="J37" s="12" t="n">
        <f aca="false">H37*I37</f>
        <v>667.017079007729</v>
      </c>
      <c r="K37" s="12" t="n">
        <f aca="false">H37+G37-J37</f>
        <v>13762.2133900357</v>
      </c>
      <c r="L37" s="12" t="n">
        <f aca="false">K37*Assumptions!$B$21</f>
        <v>8257.32803402144</v>
      </c>
      <c r="M37" s="12" t="n">
        <f aca="false">K37*Assumptions!$B$22</f>
        <v>3440.55334750893</v>
      </c>
    </row>
    <row r="38" customFormat="false" ht="15" hidden="false" customHeight="true" outlineLevel="0" collapsed="false">
      <c r="A38" s="1" t="n">
        <v>35</v>
      </c>
      <c r="B38" s="17" t="n">
        <v>3500000</v>
      </c>
      <c r="C38" s="16" t="n">
        <f aca="false">Assumptions!$B$11</f>
        <v>3600</v>
      </c>
      <c r="D38" s="12" t="n">
        <f aca="false">B38/C38</f>
        <v>972.222222222222</v>
      </c>
      <c r="E38" s="12" t="n">
        <f aca="false">D38*Assumptions!$B$14</f>
        <v>116.666666666667</v>
      </c>
      <c r="F38" s="12" t="n">
        <f aca="false">IF(A38=4,Assumptions!$B$23,0)</f>
        <v>0</v>
      </c>
      <c r="G38" s="12" t="n">
        <f aca="false">D38+E38+F38</f>
        <v>1088.88888888889</v>
      </c>
      <c r="H38" s="12" t="n">
        <f aca="false">K37</f>
        <v>13762.2133900357</v>
      </c>
      <c r="I38" s="18" t="n">
        <f aca="false">MAX(Assumptions!$B$25,Assumptions!$B$8-MAX(0,A38-12)*Assumptions!$B$24)</f>
        <v>0.05</v>
      </c>
      <c r="J38" s="12" t="n">
        <f aca="false">H38*I38</f>
        <v>688.110669501787</v>
      </c>
      <c r="K38" s="12" t="n">
        <f aca="false">H38+G38-J38</f>
        <v>14162.9916094228</v>
      </c>
      <c r="L38" s="12" t="n">
        <f aca="false">K38*Assumptions!$B$21</f>
        <v>8497.7949656537</v>
      </c>
      <c r="M38" s="12" t="n">
        <f aca="false">K38*Assumptions!$B$22</f>
        <v>3540.74790235571</v>
      </c>
    </row>
    <row r="39" customFormat="false" ht="15" hidden="false" customHeight="true" outlineLevel="0" collapsed="false">
      <c r="A39" s="1" t="n">
        <v>36</v>
      </c>
      <c r="B39" s="17" t="n">
        <v>3500000</v>
      </c>
      <c r="C39" s="16" t="n">
        <f aca="false">Assumptions!$B$11</f>
        <v>3600</v>
      </c>
      <c r="D39" s="12" t="n">
        <f aca="false">B39/C39</f>
        <v>972.222222222222</v>
      </c>
      <c r="E39" s="12" t="n">
        <f aca="false">D39*Assumptions!$B$14</f>
        <v>116.666666666667</v>
      </c>
      <c r="F39" s="12" t="n">
        <f aca="false">IF(A39=4,Assumptions!$B$23,0)</f>
        <v>0</v>
      </c>
      <c r="G39" s="12" t="n">
        <f aca="false">D39+E39+F39</f>
        <v>1088.88888888889</v>
      </c>
      <c r="H39" s="12" t="n">
        <f aca="false">K38</f>
        <v>14162.9916094228</v>
      </c>
      <c r="I39" s="18" t="n">
        <f aca="false">MAX(Assumptions!$B$25,Assumptions!$B$8-MAX(0,A39-12)*Assumptions!$B$24)</f>
        <v>0.05</v>
      </c>
      <c r="J39" s="12" t="n">
        <f aca="false">H39*I39</f>
        <v>708.149580471142</v>
      </c>
      <c r="K39" s="12" t="n">
        <f aca="false">H39+G39-J39</f>
        <v>14543.7309178406</v>
      </c>
      <c r="L39" s="12" t="n">
        <f aca="false">K39*Assumptions!$B$21</f>
        <v>8726.23855070435</v>
      </c>
      <c r="M39" s="12" t="n">
        <f aca="false">K39*Assumptions!$B$22</f>
        <v>3635.93272946015</v>
      </c>
    </row>
    <row r="41" customFormat="false" ht="15" hidden="false" customHeight="true" outlineLevel="0" collapsed="false">
      <c r="A41" s="14" t="s">
        <v>105</v>
      </c>
      <c r="B41" s="14" t="s">
        <v>106</v>
      </c>
      <c r="C41" s="15" t="n">
        <f aca="false">K9</f>
        <v>1186.73145169067</v>
      </c>
      <c r="D41" s="14" t="s">
        <v>107</v>
      </c>
      <c r="E41" s="15" t="n">
        <f aca="false">K15</f>
        <v>3230.81409187011</v>
      </c>
      <c r="F41" s="14" t="s">
        <v>108</v>
      </c>
      <c r="G41" s="15" t="n">
        <f aca="false">K27</f>
        <v>8551.58523885516</v>
      </c>
      <c r="H41" s="14" t="s">
        <v>109</v>
      </c>
      <c r="I41" s="15" t="n">
        <f aca="false">K39</f>
        <v>14543.7309178406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56"/>
  </cols>
  <sheetData>
    <row r="1" customFormat="false" ht="15.75" hidden="false" customHeight="true" outlineLevel="0" collapsed="false">
      <c r="A1" s="2" t="s">
        <v>110</v>
      </c>
    </row>
    <row r="3" customFormat="false" ht="15" hidden="false" customHeight="true" outlineLevel="0" collapsed="false">
      <c r="A3" s="11" t="s">
        <v>111</v>
      </c>
      <c r="B3" s="11" t="s">
        <v>112</v>
      </c>
      <c r="C3" s="11" t="s">
        <v>113</v>
      </c>
      <c r="D3" s="11" t="s">
        <v>114</v>
      </c>
      <c r="E3" s="11" t="s">
        <v>115</v>
      </c>
    </row>
    <row r="4" customFormat="false" ht="15" hidden="false" customHeight="true" outlineLevel="0" collapsed="false">
      <c r="A4" s="1" t="s">
        <v>116</v>
      </c>
      <c r="B4" s="1" t="s">
        <v>117</v>
      </c>
      <c r="C4" s="12" t="n">
        <f aca="false">C6/0.03/0.08</f>
        <v>694444.444444445</v>
      </c>
      <c r="D4" s="12"/>
      <c r="E4" s="1" t="s">
        <v>118</v>
      </c>
    </row>
    <row r="5" customFormat="false" ht="15" hidden="false" customHeight="true" outlineLevel="0" collapsed="false">
      <c r="A5" s="1" t="s">
        <v>119</v>
      </c>
      <c r="B5" s="1" t="s">
        <v>117</v>
      </c>
      <c r="C5" s="12" t="n">
        <f aca="false">C6/0.03</f>
        <v>55555.5555555556</v>
      </c>
      <c r="D5" s="12"/>
      <c r="E5" s="1" t="s">
        <v>120</v>
      </c>
    </row>
    <row r="6" customFormat="false" ht="15" hidden="false" customHeight="true" outlineLevel="0" collapsed="false">
      <c r="A6" s="1" t="s">
        <v>121</v>
      </c>
      <c r="B6" s="1" t="s">
        <v>122</v>
      </c>
      <c r="C6" s="12" t="n">
        <f aca="false">C7/0.25</f>
        <v>1666.66666666667</v>
      </c>
      <c r="D6" s="12"/>
      <c r="E6" s="1" t="s">
        <v>123</v>
      </c>
    </row>
    <row r="7" customFormat="false" ht="15" hidden="false" customHeight="true" outlineLevel="0" collapsed="false">
      <c r="A7" s="1" t="s">
        <v>124</v>
      </c>
      <c r="B7" s="1" t="s">
        <v>125</v>
      </c>
      <c r="C7" s="12" t="n">
        <f aca="false">'Customer Growth'!D15</f>
        <v>416.666666666667</v>
      </c>
      <c r="D7" s="12" t="n">
        <f aca="false">'Customer Growth'!B15</f>
        <v>1500000</v>
      </c>
      <c r="E7" s="1" t="s">
        <v>126</v>
      </c>
    </row>
    <row r="8" customFormat="false" ht="15" hidden="false" customHeight="true" outlineLevel="0" collapsed="false">
      <c r="A8" s="1" t="s">
        <v>127</v>
      </c>
      <c r="B8" s="1" t="s">
        <v>128</v>
      </c>
      <c r="C8" s="12" t="n">
        <f aca="false">'Customer Growth'!E15</f>
        <v>50</v>
      </c>
      <c r="D8" s="12"/>
      <c r="E8" s="1" t="s">
        <v>129</v>
      </c>
    </row>
    <row r="9" customFormat="false" ht="15" hidden="false" customHeight="true" outlineLevel="0" collapsed="false">
      <c r="A9" s="1" t="s">
        <v>130</v>
      </c>
      <c r="B9" s="1" t="s">
        <v>117</v>
      </c>
      <c r="C9" s="12"/>
      <c r="D9" s="12" t="n">
        <f aca="false">'Customer Growth'!B15/('Customer Growth'!D15+'Customer Growth'!E15)</f>
        <v>3214.28571428571</v>
      </c>
      <c r="E9" s="1" t="s">
        <v>131</v>
      </c>
    </row>
    <row r="11" customFormat="false" ht="15" hidden="false" customHeight="true" outlineLevel="0" collapsed="false">
      <c r="A11" s="1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7"/>
  </cols>
  <sheetData>
    <row r="1" customFormat="false" ht="15.75" hidden="false" customHeight="true" outlineLevel="0" collapsed="false">
      <c r="A1" s="2" t="s">
        <v>133</v>
      </c>
    </row>
    <row r="3" customFormat="false" ht="26.25" hidden="false" customHeight="true" outlineLevel="0" collapsed="false">
      <c r="A3" s="11" t="s">
        <v>92</v>
      </c>
      <c r="B3" s="11" t="s">
        <v>134</v>
      </c>
      <c r="C3" s="11" t="s">
        <v>135</v>
      </c>
      <c r="D3" s="11" t="s">
        <v>136</v>
      </c>
      <c r="E3" s="11" t="s">
        <v>137</v>
      </c>
      <c r="F3" s="11" t="s">
        <v>138</v>
      </c>
      <c r="G3" s="11" t="s">
        <v>139</v>
      </c>
      <c r="H3" s="11" t="s">
        <v>140</v>
      </c>
    </row>
    <row r="4" customFormat="false" ht="15" hidden="false" customHeight="true" outlineLevel="0" collapsed="false">
      <c r="A4" s="1" t="n">
        <v>1</v>
      </c>
      <c r="B4" s="12" t="n">
        <f aca="false">('Customer Growth'!H4+'Customer Growth'!K4)/2</f>
        <v>46.6666666666667</v>
      </c>
      <c r="C4" s="12" t="n">
        <f aca="false">B4*Assumptions!$B$6</f>
        <v>38033.3333333333</v>
      </c>
      <c r="D4" s="12" t="n">
        <f aca="false">B4*Assumptions!$B$7</f>
        <v>3033.33333333333</v>
      </c>
      <c r="E4" s="12" t="n">
        <f aca="false">C4+D4</f>
        <v>41066.6666666667</v>
      </c>
      <c r="F4" s="12" t="n">
        <f aca="false">E4*Assumptions!$B$15</f>
        <v>1026.66666666667</v>
      </c>
      <c r="G4" s="12" t="n">
        <f aca="false">E4-F4</f>
        <v>40040</v>
      </c>
      <c r="H4" s="12" t="n">
        <f aca="false">'Customer Growth'!G4*Assumptions!$B$21*Assumptions!$B$6*5.5</f>
        <v>251020</v>
      </c>
    </row>
    <row r="5" customFormat="false" ht="15" hidden="false" customHeight="true" outlineLevel="0" collapsed="false">
      <c r="A5" s="1" t="n">
        <v>2</v>
      </c>
      <c r="B5" s="12" t="n">
        <f aca="false">('Customer Growth'!H5+'Customer Growth'!K5)/2</f>
        <v>137.2</v>
      </c>
      <c r="C5" s="12" t="n">
        <f aca="false">B5*Assumptions!$B$6</f>
        <v>111818</v>
      </c>
      <c r="D5" s="12" t="n">
        <f aca="false">B5*Assumptions!$B$7</f>
        <v>8918</v>
      </c>
      <c r="E5" s="12" t="n">
        <f aca="false">C5+D5</f>
        <v>120736</v>
      </c>
      <c r="F5" s="12" t="n">
        <f aca="false">E5*Assumptions!$B$15</f>
        <v>3018.4</v>
      </c>
      <c r="G5" s="12" t="n">
        <f aca="false">E5-F5</f>
        <v>117717.6</v>
      </c>
      <c r="H5" s="12" t="n">
        <f aca="false">'Customer Growth'!G5*Assumptions!$B$21*Assumptions!$B$6*5.5</f>
        <v>251020</v>
      </c>
    </row>
    <row r="6" customFormat="false" ht="15" hidden="false" customHeight="true" outlineLevel="0" collapsed="false">
      <c r="A6" s="1" t="n">
        <v>3</v>
      </c>
      <c r="B6" s="12" t="n">
        <f aca="false">('Customer Growth'!H6+'Customer Growth'!K6)/2</f>
        <v>222.301333333333</v>
      </c>
      <c r="C6" s="12" t="n">
        <f aca="false">B6*Assumptions!$B$6</f>
        <v>181175.586666667</v>
      </c>
      <c r="D6" s="12" t="n">
        <f aca="false">B6*Assumptions!$B$7</f>
        <v>14449.5866666667</v>
      </c>
      <c r="E6" s="12" t="n">
        <f aca="false">C6+D6</f>
        <v>195625.173333333</v>
      </c>
      <c r="F6" s="12" t="n">
        <f aca="false">E6*Assumptions!$B$15</f>
        <v>4890.62933333333</v>
      </c>
      <c r="G6" s="12" t="n">
        <f aca="false">E6-F6</f>
        <v>190734.544</v>
      </c>
      <c r="H6" s="12" t="n">
        <f aca="false">'Customer Growth'!G6*Assumptions!$B$21*Assumptions!$B$6*5.5</f>
        <v>251020</v>
      </c>
    </row>
    <row r="7" customFormat="false" ht="15" hidden="false" customHeight="true" outlineLevel="0" collapsed="false">
      <c r="A7" s="1" t="n">
        <v>4</v>
      </c>
      <c r="B7" s="12" t="n">
        <f aca="false">('Customer Growth'!H7+'Customer Growth'!K7)/2</f>
        <v>530.074364444445</v>
      </c>
      <c r="C7" s="12" t="n">
        <f aca="false">B7*Assumptions!$B$6</f>
        <v>432010.607022222</v>
      </c>
      <c r="D7" s="12" t="n">
        <f aca="false">B7*Assumptions!$B$7</f>
        <v>34454.8336888889</v>
      </c>
      <c r="E7" s="12" t="n">
        <f aca="false">C7+D7</f>
        <v>466465.440711111</v>
      </c>
      <c r="F7" s="12" t="n">
        <f aca="false">E7*Assumptions!$B$15</f>
        <v>11661.6360177778</v>
      </c>
      <c r="G7" s="12" t="n">
        <f aca="false">E7-F7</f>
        <v>454803.804693333</v>
      </c>
      <c r="H7" s="12" t="n">
        <f aca="false">'Customer Growth'!G7*Assumptions!$B$21*Assumptions!$B$6*5.5</f>
        <v>1476236.66666667</v>
      </c>
    </row>
    <row r="8" customFormat="false" ht="15" hidden="false" customHeight="true" outlineLevel="0" collapsed="false">
      <c r="A8" s="1" t="n">
        <v>5</v>
      </c>
      <c r="B8" s="12" t="n">
        <f aca="false">('Customer Growth'!H8+'Customer Growth'!K8)/2</f>
        <v>897.158791466667</v>
      </c>
      <c r="C8" s="12" t="n">
        <f aca="false">B8*Assumptions!$B$6</f>
        <v>731184.415045333</v>
      </c>
      <c r="D8" s="12" t="n">
        <f aca="false">B8*Assumptions!$B$7</f>
        <v>58315.3214453333</v>
      </c>
      <c r="E8" s="12" t="n">
        <f aca="false">C8+D8</f>
        <v>789499.736490667</v>
      </c>
      <c r="F8" s="12" t="n">
        <f aca="false">E8*Assumptions!$B$15</f>
        <v>19737.4934122667</v>
      </c>
      <c r="G8" s="12" t="n">
        <f aca="false">E8-F8</f>
        <v>769762.2430784</v>
      </c>
      <c r="H8" s="12" t="n">
        <f aca="false">'Customer Growth'!G8*Assumptions!$B$21*Assumptions!$B$6*5.5</f>
        <v>669386.666666667</v>
      </c>
    </row>
    <row r="9" customFormat="false" ht="15" hidden="false" customHeight="true" outlineLevel="0" collapsed="false">
      <c r="A9" s="1" t="n">
        <v>6</v>
      </c>
      <c r="B9" s="12" t="n">
        <f aca="false">('Customer Growth'!H9+'Customer Growth'!K9)/2</f>
        <v>1092.21815286756</v>
      </c>
      <c r="C9" s="12" t="n">
        <f aca="false">B9*Assumptions!$B$6</f>
        <v>890157.794587058</v>
      </c>
      <c r="D9" s="12" t="n">
        <f aca="false">B9*Assumptions!$B$7</f>
        <v>70994.1799363911</v>
      </c>
      <c r="E9" s="12" t="n">
        <f aca="false">C9+D9</f>
        <v>961151.974523449</v>
      </c>
      <c r="F9" s="12" t="n">
        <f aca="false">E9*Assumptions!$B$15</f>
        <v>24028.7993630862</v>
      </c>
      <c r="G9" s="12" t="n">
        <f aca="false">E9-F9</f>
        <v>937123.175160363</v>
      </c>
      <c r="H9" s="12" t="n">
        <f aca="false">'Customer Growth'!G9*Assumptions!$B$21*Assumptions!$B$6*5.5</f>
        <v>669386.666666667</v>
      </c>
    </row>
    <row r="10" customFormat="false" ht="15" hidden="false" customHeight="true" outlineLevel="0" collapsed="false">
      <c r="A10" s="1" t="n">
        <v>7</v>
      </c>
      <c r="B10" s="12" t="n">
        <f aca="false">('Customer Growth'!H10+'Customer Growth'!K10)/2</f>
        <v>1384.46284147328</v>
      </c>
      <c r="C10" s="12" t="n">
        <f aca="false">B10*Assumptions!$B$6</f>
        <v>1128337.21580072</v>
      </c>
      <c r="D10" s="12" t="n">
        <f aca="false">B10*Assumptions!$B$7</f>
        <v>89990.0846957632</v>
      </c>
      <c r="E10" s="12" t="n">
        <f aca="false">C10+D10</f>
        <v>1218327.30049649</v>
      </c>
      <c r="F10" s="12" t="n">
        <f aca="false">E10*Assumptions!$B$15</f>
        <v>30458.1825124122</v>
      </c>
      <c r="G10" s="12" t="n">
        <f aca="false">E10-F10</f>
        <v>1187869.11798407</v>
      </c>
      <c r="H10" s="12" t="n">
        <f aca="false">'Customer Growth'!G10*Assumptions!$B$21*Assumptions!$B$6*5.5</f>
        <v>1255100</v>
      </c>
    </row>
    <row r="11" customFormat="false" ht="15" hidden="false" customHeight="true" outlineLevel="0" collapsed="false">
      <c r="A11" s="1" t="n">
        <v>8</v>
      </c>
      <c r="B11" s="12" t="n">
        <f aca="false">('Customer Growth'!H11+'Customer Growth'!K11)/2</f>
        <v>1768.06173765155</v>
      </c>
      <c r="C11" s="12" t="n">
        <f aca="false">B11*Assumptions!$B$6</f>
        <v>1440970.31618601</v>
      </c>
      <c r="D11" s="12" t="n">
        <f aca="false">B11*Assumptions!$B$7</f>
        <v>114924.012947351</v>
      </c>
      <c r="E11" s="12" t="n">
        <f aca="false">C11+D11</f>
        <v>1555894.32913336</v>
      </c>
      <c r="F11" s="12" t="n">
        <f aca="false">E11*Assumptions!$B$15</f>
        <v>38897.3582283341</v>
      </c>
      <c r="G11" s="12" t="n">
        <f aca="false">E11-F11</f>
        <v>1516996.97090503</v>
      </c>
      <c r="H11" s="12" t="n">
        <f aca="false">'Customer Growth'!G11*Assumptions!$B$21*Assumptions!$B$6*5.5</f>
        <v>1255100</v>
      </c>
    </row>
    <row r="12" customFormat="false" ht="15" hidden="false" customHeight="true" outlineLevel="0" collapsed="false">
      <c r="A12" s="1" t="n">
        <v>9</v>
      </c>
      <c r="B12" s="12" t="n">
        <f aca="false">('Customer Growth'!H12+'Customer Growth'!K12)/2</f>
        <v>2128.64470005912</v>
      </c>
      <c r="C12" s="12" t="n">
        <f aca="false">B12*Assumptions!$B$6</f>
        <v>1734845.43054819</v>
      </c>
      <c r="D12" s="12" t="n">
        <f aca="false">B12*Assumptions!$B$7</f>
        <v>138361.905503843</v>
      </c>
      <c r="E12" s="12" t="n">
        <f aca="false">C12+D12</f>
        <v>1873207.33605203</v>
      </c>
      <c r="F12" s="12" t="n">
        <f aca="false">E12*Assumptions!$B$15</f>
        <v>46830.1834013007</v>
      </c>
      <c r="G12" s="12" t="n">
        <f aca="false">E12-F12</f>
        <v>1826377.15265073</v>
      </c>
      <c r="H12" s="12" t="n">
        <f aca="false">'Customer Growth'!G12*Assumptions!$B$21*Assumptions!$B$6*5.5</f>
        <v>1255100</v>
      </c>
    </row>
    <row r="13" customFormat="false" ht="15" hidden="false" customHeight="true" outlineLevel="0" collapsed="false">
      <c r="A13" s="1" t="n">
        <v>10</v>
      </c>
      <c r="B13" s="12" t="n">
        <f aca="false">('Customer Growth'!H13+'Customer Growth'!K13)/2</f>
        <v>2467.59268472224</v>
      </c>
      <c r="C13" s="12" t="n">
        <f aca="false">B13*Assumptions!$B$6</f>
        <v>2011088.03804863</v>
      </c>
      <c r="D13" s="12" t="n">
        <f aca="false">B13*Assumptions!$B$7</f>
        <v>160393.524506946</v>
      </c>
      <c r="E13" s="12" t="n">
        <f aca="false">C13+D13</f>
        <v>2171481.56255557</v>
      </c>
      <c r="F13" s="12" t="n">
        <f aca="false">E13*Assumptions!$B$15</f>
        <v>54287.0390638893</v>
      </c>
      <c r="G13" s="12" t="n">
        <f aca="false">E13-F13</f>
        <v>2117194.52349168</v>
      </c>
      <c r="H13" s="12" t="n">
        <f aca="false">'Customer Growth'!G13*Assumptions!$B$21*Assumptions!$B$6*5.5</f>
        <v>1255100</v>
      </c>
    </row>
    <row r="14" customFormat="false" ht="15" hidden="false" customHeight="true" outlineLevel="0" collapsed="false">
      <c r="A14" s="1" t="n">
        <v>11</v>
      </c>
      <c r="B14" s="12" t="n">
        <f aca="false">('Customer Growth'!H14+'Customer Growth'!K14)/2</f>
        <v>2786.20379030558</v>
      </c>
      <c r="C14" s="12" t="n">
        <f aca="false">B14*Assumptions!$B$6</f>
        <v>2270756.08909904</v>
      </c>
      <c r="D14" s="12" t="n">
        <f aca="false">B14*Assumptions!$B$7</f>
        <v>181103.246369862</v>
      </c>
      <c r="E14" s="12" t="n">
        <f aca="false">C14+D14</f>
        <v>2451859.33546891</v>
      </c>
      <c r="F14" s="12" t="n">
        <f aca="false">E14*Assumptions!$B$15</f>
        <v>61296.4833867227</v>
      </c>
      <c r="G14" s="12" t="n">
        <f aca="false">E14-F14</f>
        <v>2390562.85208218</v>
      </c>
      <c r="H14" s="12" t="n">
        <f aca="false">'Customer Growth'!G14*Assumptions!$B$21*Assumptions!$B$6*5.5</f>
        <v>1255100</v>
      </c>
    </row>
    <row r="15" customFormat="false" ht="15" hidden="false" customHeight="true" outlineLevel="0" collapsed="false">
      <c r="A15" s="1" t="n">
        <v>12</v>
      </c>
      <c r="B15" s="12" t="n">
        <f aca="false">('Customer Growth'!H15+'Customer Growth'!K15)/2</f>
        <v>3085.69822955391</v>
      </c>
      <c r="C15" s="12" t="n">
        <f aca="false">B15*Assumptions!$B$6</f>
        <v>2514844.05708643</v>
      </c>
      <c r="D15" s="12" t="n">
        <f aca="false">B15*Assumptions!$B$7</f>
        <v>200570.384921004</v>
      </c>
      <c r="E15" s="12" t="n">
        <f aca="false">C15+D15</f>
        <v>2715414.44200744</v>
      </c>
      <c r="F15" s="12" t="n">
        <f aca="false">E15*Assumptions!$B$15</f>
        <v>67885.361050186</v>
      </c>
      <c r="G15" s="12" t="n">
        <f aca="false">E15-F15</f>
        <v>2647529.08095725</v>
      </c>
      <c r="H15" s="12" t="n">
        <f aca="false">'Customer Growth'!G15*Assumptions!$B$21*Assumptions!$B$6*5.5</f>
        <v>1255100</v>
      </c>
    </row>
    <row r="16" customFormat="false" ht="15" hidden="false" customHeight="true" outlineLevel="0" collapsed="false">
      <c r="A16" s="1" t="n">
        <v>13</v>
      </c>
      <c r="B16" s="12" t="n">
        <f aca="false">('Customer Growth'!H16+'Customer Growth'!K16)/2</f>
        <v>3523.58626152586</v>
      </c>
      <c r="C16" s="12" t="n">
        <f aca="false">B16*Assumptions!$B$6</f>
        <v>2871722.80314358</v>
      </c>
      <c r="D16" s="12" t="n">
        <f aca="false">B16*Assumptions!$B$7</f>
        <v>229033.106999181</v>
      </c>
      <c r="E16" s="12" t="n">
        <f aca="false">C16+D16</f>
        <v>3100755.91014276</v>
      </c>
      <c r="F16" s="12" t="n">
        <f aca="false">E16*Assumptions!$B$15</f>
        <v>77518.897753569</v>
      </c>
      <c r="G16" s="12" t="n">
        <f aca="false">E16-F16</f>
        <v>3023237.01238919</v>
      </c>
      <c r="H16" s="12" t="n">
        <f aca="false">'Customer Growth'!G16*Assumptions!$B$21*Assumptions!$B$6*5.5</f>
        <v>2091833.33333333</v>
      </c>
    </row>
    <row r="17" customFormat="false" ht="15" hidden="false" customHeight="true" outlineLevel="0" collapsed="false">
      <c r="A17" s="1" t="n">
        <v>14</v>
      </c>
      <c r="B17" s="12" t="n">
        <f aca="false">('Customer Growth'!H17+'Customer Growth'!K17)/2</f>
        <v>4092.66474635065</v>
      </c>
      <c r="C17" s="12" t="n">
        <f aca="false">B17*Assumptions!$B$6</f>
        <v>3335521.76827578</v>
      </c>
      <c r="D17" s="12" t="n">
        <f aca="false">B17*Assumptions!$B$7</f>
        <v>266023.208512792</v>
      </c>
      <c r="E17" s="12" t="n">
        <f aca="false">C17+D17</f>
        <v>3601544.97678857</v>
      </c>
      <c r="F17" s="12" t="n">
        <f aca="false">E17*Assumptions!$B$15</f>
        <v>90038.6244197142</v>
      </c>
      <c r="G17" s="12" t="n">
        <f aca="false">E17-F17</f>
        <v>3511506.35236886</v>
      </c>
      <c r="H17" s="12" t="n">
        <f aca="false">'Customer Growth'!G17*Assumptions!$B$21*Assumptions!$B$6*5.5</f>
        <v>2091833.33333333</v>
      </c>
    </row>
    <row r="18" customFormat="false" ht="15" hidden="false" customHeight="true" outlineLevel="0" collapsed="false">
      <c r="A18" s="1" t="n">
        <v>15</v>
      </c>
      <c r="B18" s="12" t="n">
        <f aca="false">('Customer Growth'!H18+'Customer Growth'!K18)/2</f>
        <v>4630.06754685912</v>
      </c>
      <c r="C18" s="12" t="n">
        <f aca="false">B18*Assumptions!$B$6</f>
        <v>3773505.05069018</v>
      </c>
      <c r="D18" s="12" t="n">
        <f aca="false">B18*Assumptions!$B$7</f>
        <v>300954.390545843</v>
      </c>
      <c r="E18" s="12" t="n">
        <f aca="false">C18+D18</f>
        <v>4074459.44123602</v>
      </c>
      <c r="F18" s="12" t="n">
        <f aca="false">E18*Assumptions!$B$15</f>
        <v>101861.486030901</v>
      </c>
      <c r="G18" s="12" t="n">
        <f aca="false">E18-F18</f>
        <v>3972597.95520512</v>
      </c>
      <c r="H18" s="12" t="n">
        <f aca="false">'Customer Growth'!G18*Assumptions!$B$21*Assumptions!$B$6*5.5</f>
        <v>2091833.33333333</v>
      </c>
    </row>
    <row r="19" customFormat="false" ht="15" hidden="false" customHeight="true" outlineLevel="0" collapsed="false">
      <c r="A19" s="1" t="n">
        <v>16</v>
      </c>
      <c r="B19" s="12" t="n">
        <f aca="false">('Customer Growth'!H19+'Customer Growth'!K19)/2</f>
        <v>5138.20916415368</v>
      </c>
      <c r="C19" s="12" t="n">
        <f aca="false">B19*Assumptions!$B$6</f>
        <v>4187640.46878525</v>
      </c>
      <c r="D19" s="12" t="n">
        <f aca="false">B19*Assumptions!$B$7</f>
        <v>333983.59566999</v>
      </c>
      <c r="E19" s="12" t="n">
        <f aca="false">C19+D19</f>
        <v>4521624.06445524</v>
      </c>
      <c r="F19" s="12" t="n">
        <f aca="false">E19*Assumptions!$B$15</f>
        <v>113040.601611381</v>
      </c>
      <c r="G19" s="12" t="n">
        <f aca="false">E19-F19</f>
        <v>4408583.46284386</v>
      </c>
      <c r="H19" s="12" t="n">
        <f aca="false">'Customer Growth'!G19*Assumptions!$B$21*Assumptions!$B$6*5.5</f>
        <v>2091833.33333333</v>
      </c>
    </row>
    <row r="20" customFormat="false" ht="15" hidden="false" customHeight="true" outlineLevel="0" collapsed="false">
      <c r="A20" s="1" t="n">
        <v>17</v>
      </c>
      <c r="B20" s="12" t="n">
        <f aca="false">('Customer Growth'!H20+'Customer Growth'!K20)/2</f>
        <v>5619.31712398458</v>
      </c>
      <c r="C20" s="12" t="n">
        <f aca="false">B20*Assumptions!$B$6</f>
        <v>4579743.45604743</v>
      </c>
      <c r="D20" s="12" t="n">
        <f aca="false">B20*Assumptions!$B$7</f>
        <v>365255.613058997</v>
      </c>
      <c r="E20" s="12" t="n">
        <f aca="false">C20+D20</f>
        <v>4944999.06910643</v>
      </c>
      <c r="F20" s="12" t="n">
        <f aca="false">E20*Assumptions!$B$15</f>
        <v>123624.976727661</v>
      </c>
      <c r="G20" s="12" t="n">
        <f aca="false">E20-F20</f>
        <v>4821374.09237877</v>
      </c>
      <c r="H20" s="12" t="n">
        <f aca="false">'Customer Growth'!G20*Assumptions!$B$21*Assumptions!$B$6*5.5</f>
        <v>2091833.33333333</v>
      </c>
    </row>
    <row r="21" customFormat="false" ht="15" hidden="false" customHeight="true" outlineLevel="0" collapsed="false">
      <c r="A21" s="1" t="n">
        <v>18</v>
      </c>
      <c r="B21" s="12" t="n">
        <f aca="false">('Customer Growth'!H21+'Customer Growth'!K21)/2</f>
        <v>6075.44751212121</v>
      </c>
      <c r="C21" s="12" t="n">
        <f aca="false">B21*Assumptions!$B$6</f>
        <v>4951489.72237878</v>
      </c>
      <c r="D21" s="12" t="n">
        <f aca="false">B21*Assumptions!$B$7</f>
        <v>394904.088287878</v>
      </c>
      <c r="E21" s="12" t="n">
        <f aca="false">C21+D21</f>
        <v>5346393.81066666</v>
      </c>
      <c r="F21" s="12" t="n">
        <f aca="false">E21*Assumptions!$B$15</f>
        <v>133659.845266667</v>
      </c>
      <c r="G21" s="12" t="n">
        <f aca="false">E21-F21</f>
        <v>5212733.9654</v>
      </c>
      <c r="H21" s="12" t="n">
        <f aca="false">'Customer Growth'!G21*Assumptions!$B$21*Assumptions!$B$6*5.5</f>
        <v>2091833.33333333</v>
      </c>
    </row>
    <row r="22" customFormat="false" ht="15" hidden="false" customHeight="true" outlineLevel="0" collapsed="false">
      <c r="A22" s="1" t="n">
        <v>19</v>
      </c>
      <c r="B22" s="12" t="n">
        <f aca="false">('Customer Growth'!H22+'Customer Growth'!K22)/2</f>
        <v>6508.49916047617</v>
      </c>
      <c r="C22" s="12" t="n">
        <f aca="false">B22*Assumptions!$B$6</f>
        <v>5304426.81578808</v>
      </c>
      <c r="D22" s="12" t="n">
        <f aca="false">B22*Assumptions!$B$7</f>
        <v>423052.445430951</v>
      </c>
      <c r="E22" s="12" t="n">
        <f aca="false">C22+D22</f>
        <v>5727479.26121903</v>
      </c>
      <c r="F22" s="12" t="n">
        <f aca="false">E22*Assumptions!$B$15</f>
        <v>143186.981530476</v>
      </c>
      <c r="G22" s="12" t="n">
        <f aca="false">E22-F22</f>
        <v>5584292.27968856</v>
      </c>
      <c r="H22" s="12" t="n">
        <f aca="false">'Customer Growth'!G22*Assumptions!$B$21*Assumptions!$B$6*5.5</f>
        <v>2091833.33333333</v>
      </c>
    </row>
    <row r="23" customFormat="false" ht="15" hidden="false" customHeight="true" outlineLevel="0" collapsed="false">
      <c r="A23" s="1" t="n">
        <v>20</v>
      </c>
      <c r="B23" s="12" t="n">
        <f aca="false">('Customer Growth'!H23+'Customer Growth'!K23)/2</f>
        <v>6920.22660649919</v>
      </c>
      <c r="C23" s="12" t="n">
        <f aca="false">B23*Assumptions!$B$6</f>
        <v>5639984.68429684</v>
      </c>
      <c r="D23" s="12" t="n">
        <f aca="false">B23*Assumptions!$B$7</f>
        <v>449814.729422447</v>
      </c>
      <c r="E23" s="12" t="n">
        <f aca="false">C23+D23</f>
        <v>6089799.41371929</v>
      </c>
      <c r="F23" s="12" t="n">
        <f aca="false">E23*Assumptions!$B$15</f>
        <v>152244.985342982</v>
      </c>
      <c r="G23" s="12" t="n">
        <f aca="false">E23-F23</f>
        <v>5937554.4283763</v>
      </c>
      <c r="H23" s="12" t="n">
        <f aca="false">'Customer Growth'!G23*Assumptions!$B$21*Assumptions!$B$6*5.5</f>
        <v>2091833.33333333</v>
      </c>
    </row>
    <row r="24" customFormat="false" ht="15" hidden="false" customHeight="true" outlineLevel="0" collapsed="false">
      <c r="A24" s="1" t="n">
        <v>21</v>
      </c>
      <c r="B24" s="12" t="n">
        <f aca="false">('Customer Growth'!H24+'Customer Growth'!K24)/2</f>
        <v>7312.25193680412</v>
      </c>
      <c r="C24" s="12" t="n">
        <f aca="false">B24*Assumptions!$B$6</f>
        <v>5959485.32849536</v>
      </c>
      <c r="D24" s="12" t="n">
        <f aca="false">B24*Assumptions!$B$7</f>
        <v>475296.375892268</v>
      </c>
      <c r="E24" s="12" t="n">
        <f aca="false">C24+D24</f>
        <v>6434781.70438762</v>
      </c>
      <c r="F24" s="12" t="n">
        <f aca="false">E24*Assumptions!$B$15</f>
        <v>160869.542609691</v>
      </c>
      <c r="G24" s="12" t="n">
        <f aca="false">E24-F24</f>
        <v>6273912.16177793</v>
      </c>
      <c r="H24" s="12" t="n">
        <f aca="false">'Customer Growth'!G24*Assumptions!$B$21*Assumptions!$B$6*5.5</f>
        <v>2091833.33333333</v>
      </c>
    </row>
    <row r="25" customFormat="false" ht="15" hidden="false" customHeight="true" outlineLevel="0" collapsed="false">
      <c r="A25" s="1" t="n">
        <v>22</v>
      </c>
      <c r="B25" s="12" t="n">
        <f aca="false">('Customer Growth'!H25+'Customer Growth'!K25)/2</f>
        <v>7686.07561556656</v>
      </c>
      <c r="C25" s="12" t="n">
        <f aca="false">B25*Assumptions!$B$6</f>
        <v>6264151.62668675</v>
      </c>
      <c r="D25" s="12" t="n">
        <f aca="false">B25*Assumptions!$B$7</f>
        <v>499594.915011827</v>
      </c>
      <c r="E25" s="12" t="n">
        <f aca="false">C25+D25</f>
        <v>6763746.54169858</v>
      </c>
      <c r="F25" s="12" t="n">
        <f aca="false">E25*Assumptions!$B$15</f>
        <v>169093.663542464</v>
      </c>
      <c r="G25" s="12" t="n">
        <f aca="false">E25-F25</f>
        <v>6594652.87815611</v>
      </c>
      <c r="H25" s="12" t="n">
        <f aca="false">'Customer Growth'!G25*Assumptions!$B$21*Assumptions!$B$6*5.5</f>
        <v>2091833.33333333</v>
      </c>
    </row>
    <row r="26" customFormat="false" ht="15" hidden="false" customHeight="true" outlineLevel="0" collapsed="false">
      <c r="A26" s="1" t="n">
        <v>23</v>
      </c>
      <c r="B26" s="12" t="n">
        <f aca="false">('Customer Growth'!H26+'Customer Growth'!K26)/2</f>
        <v>8043.08638881867</v>
      </c>
      <c r="C26" s="12" t="n">
        <f aca="false">B26*Assumptions!$B$6</f>
        <v>6555115.40688721</v>
      </c>
      <c r="D26" s="12" t="n">
        <f aca="false">B26*Assumptions!$B$7</f>
        <v>522800.615273213</v>
      </c>
      <c r="E26" s="12" t="n">
        <f aca="false">C26+D26</f>
        <v>7077916.02216043</v>
      </c>
      <c r="F26" s="12" t="n">
        <f aca="false">E26*Assumptions!$B$15</f>
        <v>176947.900554011</v>
      </c>
      <c r="G26" s="12" t="n">
        <f aca="false">E26-F26</f>
        <v>6900968.12160642</v>
      </c>
      <c r="H26" s="12" t="n">
        <f aca="false">'Customer Growth'!G26*Assumptions!$B$21*Assumptions!$B$6*5.5</f>
        <v>2091833.33333333</v>
      </c>
    </row>
    <row r="27" customFormat="false" ht="15" hidden="false" customHeight="true" outlineLevel="0" collapsed="false">
      <c r="A27" s="1" t="n">
        <v>24</v>
      </c>
      <c r="B27" s="12" t="n">
        <f aca="false">('Customer Growth'!H27+'Customer Growth'!K27)/2</f>
        <v>8384.57034726975</v>
      </c>
      <c r="C27" s="12" t="n">
        <f aca="false">B27*Assumptions!$B$6</f>
        <v>6833424.83302484</v>
      </c>
      <c r="D27" s="12" t="n">
        <f aca="false">B27*Assumptions!$B$7</f>
        <v>544997.072572534</v>
      </c>
      <c r="E27" s="12" t="n">
        <f aca="false">C27+D27</f>
        <v>7378421.90559738</v>
      </c>
      <c r="F27" s="12" t="n">
        <f aca="false">E27*Assumptions!$B$15</f>
        <v>184460.547639934</v>
      </c>
      <c r="G27" s="12" t="n">
        <f aca="false">E27-F27</f>
        <v>7193961.35795744</v>
      </c>
      <c r="H27" s="12" t="n">
        <f aca="false">'Customer Growth'!G27*Assumptions!$B$21*Assumptions!$B$6*5.5</f>
        <v>2091833.33333333</v>
      </c>
    </row>
    <row r="28" customFormat="false" ht="15" hidden="false" customHeight="true" outlineLevel="0" collapsed="false">
      <c r="A28" s="1" t="n">
        <v>25</v>
      </c>
      <c r="B28" s="12" t="n">
        <f aca="false">('Customer Growth'!H28+'Customer Growth'!K28)/2</f>
        <v>8867.27477816023</v>
      </c>
      <c r="C28" s="12" t="n">
        <f aca="false">B28*Assumptions!$B$6</f>
        <v>7226828.94420059</v>
      </c>
      <c r="D28" s="12" t="n">
        <f aca="false">B28*Assumptions!$B$7</f>
        <v>576372.860580415</v>
      </c>
      <c r="E28" s="12" t="n">
        <f aca="false">C28+D28</f>
        <v>7803201.804781</v>
      </c>
      <c r="F28" s="12" t="n">
        <f aca="false">E28*Assumptions!$B$15</f>
        <v>195080.045119525</v>
      </c>
      <c r="G28" s="12" t="n">
        <f aca="false">E28-F28</f>
        <v>7608121.75966148</v>
      </c>
      <c r="H28" s="12" t="n">
        <f aca="false">'Customer Growth'!G28*Assumptions!$B$21*Assumptions!$B$6*5.5</f>
        <v>2928566.66666667</v>
      </c>
    </row>
    <row r="29" customFormat="false" ht="15" hidden="false" customHeight="true" outlineLevel="0" collapsed="false">
      <c r="A29" s="1" t="n">
        <v>26</v>
      </c>
      <c r="B29" s="12" t="n">
        <f aca="false">('Customer Growth'!H29+'Customer Growth'!K29)/2</f>
        <v>9484.06020749691</v>
      </c>
      <c r="C29" s="12" t="n">
        <f aca="false">B29*Assumptions!$B$6</f>
        <v>7729509.06910998</v>
      </c>
      <c r="D29" s="12" t="n">
        <f aca="false">B29*Assumptions!$B$7</f>
        <v>616463.913487299</v>
      </c>
      <c r="E29" s="12" t="n">
        <f aca="false">C29+D29</f>
        <v>8345972.98259728</v>
      </c>
      <c r="F29" s="12" t="n">
        <f aca="false">E29*Assumptions!$B$15</f>
        <v>208649.324564932</v>
      </c>
      <c r="G29" s="12" t="n">
        <f aca="false">E29-F29</f>
        <v>8137323.65803235</v>
      </c>
      <c r="H29" s="12" t="n">
        <f aca="false">'Customer Growth'!G29*Assumptions!$B$21*Assumptions!$B$6*5.5</f>
        <v>2928566.66666667</v>
      </c>
    </row>
    <row r="30" customFormat="false" ht="15" hidden="false" customHeight="true" outlineLevel="0" collapsed="false">
      <c r="A30" s="1" t="n">
        <v>27</v>
      </c>
      <c r="B30" s="12" t="n">
        <f aca="false">('Customer Growth'!H30+'Customer Growth'!K30)/2</f>
        <v>10072.7401944128</v>
      </c>
      <c r="C30" s="12" t="n">
        <f aca="false">B30*Assumptions!$B$6</f>
        <v>8209283.25844647</v>
      </c>
      <c r="D30" s="12" t="n">
        <f aca="false">B30*Assumptions!$B$7</f>
        <v>654728.112636835</v>
      </c>
      <c r="E30" s="12" t="n">
        <f aca="false">C30+D30</f>
        <v>8864011.3710833</v>
      </c>
      <c r="F30" s="12" t="n">
        <f aca="false">E30*Assumptions!$B$15</f>
        <v>221600.284277083</v>
      </c>
      <c r="G30" s="12" t="n">
        <f aca="false">E30-F30</f>
        <v>8642411.08680622</v>
      </c>
      <c r="H30" s="12" t="n">
        <f aca="false">'Customer Growth'!G30*Assumptions!$B$21*Assumptions!$B$6*5.5</f>
        <v>2928566.66666667</v>
      </c>
    </row>
    <row r="31" customFormat="false" ht="15" hidden="false" customHeight="true" outlineLevel="0" collapsed="false">
      <c r="A31" s="1" t="n">
        <v>28</v>
      </c>
      <c r="B31" s="12" t="n">
        <f aca="false">('Customer Growth'!H31+'Customer Growth'!K31)/2</f>
        <v>10635.4003041679</v>
      </c>
      <c r="C31" s="12" t="n">
        <f aca="false">B31*Assumptions!$B$6</f>
        <v>8667851.24789683</v>
      </c>
      <c r="D31" s="12" t="n">
        <f aca="false">B31*Assumptions!$B$7</f>
        <v>691301.019770913</v>
      </c>
      <c r="E31" s="12" t="n">
        <f aca="false">C31+D31</f>
        <v>9359152.26766774</v>
      </c>
      <c r="F31" s="12" t="n">
        <f aca="false">E31*Assumptions!$B$15</f>
        <v>233978.806691694</v>
      </c>
      <c r="G31" s="12" t="n">
        <f aca="false">E31-F31</f>
        <v>9125173.46097605</v>
      </c>
      <c r="H31" s="12" t="n">
        <f aca="false">'Customer Growth'!G31*Assumptions!$B$21*Assumptions!$B$6*5.5</f>
        <v>2928566.66666667</v>
      </c>
    </row>
    <row r="32" customFormat="false" ht="15" hidden="false" customHeight="true" outlineLevel="0" collapsed="false">
      <c r="A32" s="1" t="n">
        <v>29</v>
      </c>
      <c r="B32" s="12" t="n">
        <f aca="false">('Customer Growth'!H32+'Customer Growth'!K32)/2</f>
        <v>11173.9759963193</v>
      </c>
      <c r="C32" s="12" t="n">
        <f aca="false">B32*Assumptions!$B$6</f>
        <v>9106790.43700023</v>
      </c>
      <c r="D32" s="12" t="n">
        <f aca="false">B32*Assumptions!$B$7</f>
        <v>726308.439760755</v>
      </c>
      <c r="E32" s="12" t="n">
        <f aca="false">C32+D32</f>
        <v>9833098.87676099</v>
      </c>
      <c r="F32" s="12" t="n">
        <f aca="false">E32*Assumptions!$B$15</f>
        <v>245827.471919025</v>
      </c>
      <c r="G32" s="12" t="n">
        <f aca="false">E32-F32</f>
        <v>9587271.40484196</v>
      </c>
      <c r="H32" s="12" t="n">
        <f aca="false">'Customer Growth'!G32*Assumptions!$B$21*Assumptions!$B$6*5.5</f>
        <v>2928566.66666667</v>
      </c>
    </row>
    <row r="33" customFormat="false" ht="15" hidden="false" customHeight="true" outlineLevel="0" collapsed="false">
      <c r="A33" s="1" t="n">
        <v>30</v>
      </c>
      <c r="B33" s="12" t="n">
        <f aca="false">('Customer Growth'!H33+'Customer Growth'!K33)/2</f>
        <v>11690.2644903166</v>
      </c>
      <c r="C33" s="12" t="n">
        <f aca="false">B33*Assumptions!$B$6</f>
        <v>9527565.55960807</v>
      </c>
      <c r="D33" s="12" t="n">
        <f aca="false">B33*Assumptions!$B$7</f>
        <v>759867.191870582</v>
      </c>
      <c r="E33" s="12" t="n">
        <f aca="false">C33+D33</f>
        <v>10287432.7514787</v>
      </c>
      <c r="F33" s="12" t="n">
        <f aca="false">E33*Assumptions!$B$15</f>
        <v>257185.818786966</v>
      </c>
      <c r="G33" s="12" t="n">
        <f aca="false">E33-F33</f>
        <v>10030246.9326917</v>
      </c>
      <c r="H33" s="12" t="n">
        <f aca="false">'Customer Growth'!G33*Assumptions!$B$21*Assumptions!$B$6*5.5</f>
        <v>2928566.66666667</v>
      </c>
    </row>
    <row r="34" customFormat="false" ht="15" hidden="false" customHeight="true" outlineLevel="0" collapsed="false">
      <c r="A34" s="1" t="n">
        <v>31</v>
      </c>
      <c r="B34" s="12" t="n">
        <f aca="false">('Customer Growth'!H34+'Customer Growth'!K34)/2</f>
        <v>12185.9356535256</v>
      </c>
      <c r="C34" s="12" t="n">
        <f aca="false">B34*Assumptions!$B$6</f>
        <v>9931537.5576234</v>
      </c>
      <c r="D34" s="12" t="n">
        <f aca="false">B34*Assumptions!$B$7</f>
        <v>792085.817479167</v>
      </c>
      <c r="E34" s="12" t="n">
        <f aca="false">C34+D34</f>
        <v>10723623.3751026</v>
      </c>
      <c r="F34" s="12" t="n">
        <f aca="false">E34*Assumptions!$B$15</f>
        <v>268090.584377564</v>
      </c>
      <c r="G34" s="12" t="n">
        <f aca="false">E34-F34</f>
        <v>10455532.790725</v>
      </c>
      <c r="H34" s="12" t="n">
        <f aca="false">'Customer Growth'!G34*Assumptions!$B$21*Assumptions!$B$6*5.5</f>
        <v>2928566.66666667</v>
      </c>
    </row>
    <row r="35" customFormat="false" ht="15" hidden="false" customHeight="true" outlineLevel="0" collapsed="false">
      <c r="A35" s="1" t="n">
        <v>32</v>
      </c>
      <c r="B35" s="12" t="n">
        <f aca="false">('Customer Growth'!H35+'Customer Growth'!K35)/2</f>
        <v>12662.541996412</v>
      </c>
      <c r="C35" s="12" t="n">
        <f aca="false">B35*Assumptions!$B$6</f>
        <v>10319971.7270758</v>
      </c>
      <c r="D35" s="12" t="n">
        <f aca="false">B35*Assumptions!$B$7</f>
        <v>823065.22976678</v>
      </c>
      <c r="E35" s="12" t="n">
        <f aca="false">C35+D35</f>
        <v>11143036.9568426</v>
      </c>
      <c r="F35" s="12" t="n">
        <f aca="false">E35*Assumptions!$B$15</f>
        <v>278575.923921064</v>
      </c>
      <c r="G35" s="12" t="n">
        <f aca="false">E35-F35</f>
        <v>10864461.0329215</v>
      </c>
      <c r="H35" s="12" t="n">
        <f aca="false">'Customer Growth'!G35*Assumptions!$B$21*Assumptions!$B$6*5.5</f>
        <v>2928566.66666667</v>
      </c>
    </row>
    <row r="36" customFormat="false" ht="15" hidden="false" customHeight="true" outlineLevel="0" collapsed="false">
      <c r="A36" s="1" t="n">
        <v>33</v>
      </c>
      <c r="B36" s="12" t="n">
        <f aca="false">('Customer Growth'!H36+'Customer Growth'!K36)/2</f>
        <v>13118.3037854803</v>
      </c>
      <c r="C36" s="12" t="n">
        <f aca="false">B36*Assumptions!$B$6</f>
        <v>10691417.5851664</v>
      </c>
      <c r="D36" s="12" t="n">
        <f aca="false">B36*Assumptions!$B$7</f>
        <v>852689.746056218</v>
      </c>
      <c r="E36" s="12" t="n">
        <f aca="false">C36+D36</f>
        <v>11544107.3312226</v>
      </c>
      <c r="F36" s="12" t="n">
        <f aca="false">E36*Assumptions!$B$15</f>
        <v>288602.683280566</v>
      </c>
      <c r="G36" s="12" t="n">
        <f aca="false">E36-F36</f>
        <v>11255504.6479421</v>
      </c>
      <c r="H36" s="12" t="n">
        <f aca="false">'Customer Growth'!G36*Assumptions!$B$21*Assumptions!$B$6*5.5</f>
        <v>2928566.66666667</v>
      </c>
    </row>
    <row r="37" customFormat="false" ht="15" hidden="false" customHeight="true" outlineLevel="0" collapsed="false">
      <c r="A37" s="1" t="n">
        <v>34</v>
      </c>
      <c r="B37" s="12" t="n">
        <f aca="false">('Customer Growth'!H37+'Customer Growth'!K37)/2</f>
        <v>13551.2774850952</v>
      </c>
      <c r="C37" s="12" t="n">
        <f aca="false">B37*Assumptions!$B$6</f>
        <v>11044291.1503526</v>
      </c>
      <c r="D37" s="12" t="n">
        <f aca="false">B37*Assumptions!$B$7</f>
        <v>880833.036531185</v>
      </c>
      <c r="E37" s="12" t="n">
        <f aca="false">C37+D37</f>
        <v>11925124.1868837</v>
      </c>
      <c r="F37" s="12" t="n">
        <f aca="false">E37*Assumptions!$B$15</f>
        <v>298128.104672093</v>
      </c>
      <c r="G37" s="12" t="n">
        <f aca="false">E37-F37</f>
        <v>11626996.0822116</v>
      </c>
      <c r="H37" s="12" t="n">
        <f aca="false">'Customer Growth'!G37*Assumptions!$B$21*Assumptions!$B$6*5.5</f>
        <v>2928566.66666667</v>
      </c>
    </row>
    <row r="38" customFormat="false" ht="15" hidden="false" customHeight="true" outlineLevel="0" collapsed="false">
      <c r="A38" s="1" t="n">
        <v>35</v>
      </c>
      <c r="B38" s="12" t="n">
        <f aca="false">('Customer Growth'!H38+'Customer Growth'!K38)/2</f>
        <v>13962.6024997293</v>
      </c>
      <c r="C38" s="12" t="n">
        <f aca="false">B38*Assumptions!$B$6</f>
        <v>11379521.0372794</v>
      </c>
      <c r="D38" s="12" t="n">
        <f aca="false">B38*Assumptions!$B$7</f>
        <v>907569.162482404</v>
      </c>
      <c r="E38" s="12" t="n">
        <f aca="false">C38+D38</f>
        <v>12287090.1997618</v>
      </c>
      <c r="F38" s="12" t="n">
        <f aca="false">E38*Assumptions!$B$15</f>
        <v>307177.254994044</v>
      </c>
      <c r="G38" s="12" t="n">
        <f aca="false">E38-F38</f>
        <v>11979912.9447677</v>
      </c>
      <c r="H38" s="12" t="n">
        <f aca="false">'Customer Growth'!G38*Assumptions!$B$21*Assumptions!$B$6*5.5</f>
        <v>2928566.66666667</v>
      </c>
    </row>
    <row r="39" customFormat="false" ht="15" hidden="false" customHeight="true" outlineLevel="0" collapsed="false">
      <c r="A39" s="1" t="n">
        <v>36</v>
      </c>
      <c r="B39" s="12" t="n">
        <f aca="false">('Customer Growth'!H39+'Customer Growth'!K39)/2</f>
        <v>14353.3612636317</v>
      </c>
      <c r="C39" s="12" t="n">
        <f aca="false">B39*Assumptions!$B$6</f>
        <v>11697989.4298598</v>
      </c>
      <c r="D39" s="12" t="n">
        <f aca="false">B39*Assumptions!$B$7</f>
        <v>932968.482136061</v>
      </c>
      <c r="E39" s="12" t="n">
        <f aca="false">C39+D39</f>
        <v>12630957.9119959</v>
      </c>
      <c r="F39" s="12" t="n">
        <f aca="false">E39*Assumptions!$B$15</f>
        <v>315773.947799898</v>
      </c>
      <c r="G39" s="12" t="n">
        <f aca="false">E39-F39</f>
        <v>12315183.964196</v>
      </c>
      <c r="H39" s="12" t="n">
        <f aca="false">'Customer Growth'!G39*Assumptions!$B$21*Assumptions!$B$6*5.5</f>
        <v>2928566.66666667</v>
      </c>
    </row>
    <row r="41" customFormat="false" ht="15" hidden="false" customHeight="true" outlineLevel="0" collapsed="false">
      <c r="A41" s="14" t="s">
        <v>141</v>
      </c>
      <c r="B41" s="1" t="s">
        <v>142</v>
      </c>
      <c r="C41" s="15" t="n">
        <f aca="false">SUM(G4:G15)</f>
        <v>14196711.065003</v>
      </c>
      <c r="D41" s="1" t="s">
        <v>143</v>
      </c>
      <c r="E41" s="15" t="n">
        <f aca="false">SUM(G16:G27)</f>
        <v>63435374.0681486</v>
      </c>
      <c r="F41" s="1" t="s">
        <v>144</v>
      </c>
      <c r="G41" s="15" t="n">
        <f aca="false">SUM(G28:G39)</f>
        <v>121628139.765774</v>
      </c>
    </row>
    <row r="42" customFormat="false" ht="15" hidden="false" customHeight="true" outlineLevel="0" collapsed="false">
      <c r="A42" s="1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9" min="9" style="1" width="9"/>
  </cols>
  <sheetData>
    <row r="1" customFormat="false" ht="15.75" hidden="false" customHeight="true" outlineLevel="0" collapsed="false">
      <c r="A1" s="2" t="s">
        <v>146</v>
      </c>
    </row>
    <row r="3" customFormat="false" ht="26.25" hidden="false" customHeight="true" outlineLevel="0" collapsed="false">
      <c r="A3" s="11" t="s">
        <v>92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 t="s">
        <v>153</v>
      </c>
      <c r="I3" s="11" t="s">
        <v>154</v>
      </c>
    </row>
    <row r="4" customFormat="false" ht="15" hidden="false" customHeight="true" outlineLevel="0" collapsed="false">
      <c r="A4" s="1" t="n">
        <v>1</v>
      </c>
      <c r="B4" s="12" t="n">
        <f aca="false">Revenue!B4*Assumptions!$B$16</f>
        <v>3266.66666666667</v>
      </c>
      <c r="C4" s="12" t="n">
        <f aca="false">Revenue!B4*Assumptions!$B$17</f>
        <v>2100</v>
      </c>
      <c r="D4" s="12" t="n">
        <f aca="false">Revenue!B4*Assumptions!$B$18</f>
        <v>1166.66666666667</v>
      </c>
      <c r="E4" s="12" t="n">
        <f aca="false">Revenue!B4*Assumptions!$B$20</f>
        <v>700</v>
      </c>
      <c r="F4" s="12" t="n">
        <f aca="false">Revenue!E4*Assumptions!$B$19</f>
        <v>1149.86666666667</v>
      </c>
      <c r="G4" s="12" t="n">
        <f aca="false">SUM(B4:F4)</f>
        <v>8383.2</v>
      </c>
      <c r="H4" s="12" t="n">
        <f aca="false">Revenue!G4-G4</f>
        <v>31656.8</v>
      </c>
      <c r="I4" s="18" t="n">
        <f aca="false">IF(Revenue!G4=0,0,H4/Revenue!G4)</f>
        <v>0.790629370629371</v>
      </c>
    </row>
    <row r="5" customFormat="false" ht="15" hidden="false" customHeight="true" outlineLevel="0" collapsed="false">
      <c r="A5" s="1" t="n">
        <v>2</v>
      </c>
      <c r="B5" s="12" t="n">
        <f aca="false">Revenue!B5*Assumptions!$B$16</f>
        <v>9604</v>
      </c>
      <c r="C5" s="12" t="n">
        <f aca="false">Revenue!B5*Assumptions!$B$17</f>
        <v>6174</v>
      </c>
      <c r="D5" s="12" t="n">
        <f aca="false">Revenue!B5*Assumptions!$B$18</f>
        <v>3430</v>
      </c>
      <c r="E5" s="12" t="n">
        <f aca="false">Revenue!B5*Assumptions!$B$20</f>
        <v>2058</v>
      </c>
      <c r="F5" s="12" t="n">
        <f aca="false">Revenue!E5*Assumptions!$B$19</f>
        <v>3380.608</v>
      </c>
      <c r="G5" s="12" t="n">
        <f aca="false">SUM(B5:F5)</f>
        <v>24646.608</v>
      </c>
      <c r="H5" s="12" t="n">
        <f aca="false">Revenue!G5-G5</f>
        <v>93070.992</v>
      </c>
      <c r="I5" s="18" t="n">
        <f aca="false">IF(Revenue!G5=0,0,H5/Revenue!G5)</f>
        <v>0.790629370629371</v>
      </c>
    </row>
    <row r="6" customFormat="false" ht="15" hidden="false" customHeight="true" outlineLevel="0" collapsed="false">
      <c r="A6" s="1" t="n">
        <v>3</v>
      </c>
      <c r="B6" s="12" t="n">
        <f aca="false">Revenue!B6*Assumptions!$B$16</f>
        <v>15561.0933333333</v>
      </c>
      <c r="C6" s="12" t="n">
        <f aca="false">Revenue!B6*Assumptions!$B$17</f>
        <v>10003.56</v>
      </c>
      <c r="D6" s="12" t="n">
        <f aca="false">Revenue!B6*Assumptions!$B$18</f>
        <v>5557.53333333333</v>
      </c>
      <c r="E6" s="12" t="n">
        <f aca="false">Revenue!B6*Assumptions!$B$20</f>
        <v>3334.52</v>
      </c>
      <c r="F6" s="12" t="n">
        <f aca="false">Revenue!E6*Assumptions!$B$19</f>
        <v>5477.50485333333</v>
      </c>
      <c r="G6" s="12" t="n">
        <f aca="false">SUM(B6:F6)</f>
        <v>39934.21152</v>
      </c>
      <c r="H6" s="12" t="n">
        <f aca="false">Revenue!G6-G6</f>
        <v>150800.33248</v>
      </c>
      <c r="I6" s="18" t="n">
        <f aca="false">IF(Revenue!G6=0,0,H6/Revenue!G6)</f>
        <v>0.790629370629371</v>
      </c>
    </row>
    <row r="7" customFormat="false" ht="15" hidden="false" customHeight="true" outlineLevel="0" collapsed="false">
      <c r="A7" s="1" t="n">
        <v>4</v>
      </c>
      <c r="B7" s="12" t="n">
        <f aca="false">Revenue!B7*Assumptions!$B$16</f>
        <v>37105.2055111111</v>
      </c>
      <c r="C7" s="12" t="n">
        <f aca="false">Revenue!B7*Assumptions!$B$17</f>
        <v>23853.3464</v>
      </c>
      <c r="D7" s="12" t="n">
        <f aca="false">Revenue!B7*Assumptions!$B$18</f>
        <v>13251.8591111111</v>
      </c>
      <c r="E7" s="12" t="n">
        <f aca="false">Revenue!B7*Assumptions!$B$20</f>
        <v>7951.11546666667</v>
      </c>
      <c r="F7" s="12" t="n">
        <f aca="false">Revenue!E7*Assumptions!$B$19</f>
        <v>13061.0323399111</v>
      </c>
      <c r="G7" s="12" t="n">
        <f aca="false">SUM(B7:F7)</f>
        <v>95222.5588288</v>
      </c>
      <c r="H7" s="12" t="n">
        <f aca="false">Revenue!G7-G7</f>
        <v>359581.245864533</v>
      </c>
      <c r="I7" s="18" t="n">
        <f aca="false">IF(Revenue!G7=0,0,H7/Revenue!G7)</f>
        <v>0.790629370629371</v>
      </c>
    </row>
    <row r="8" customFormat="false" ht="15" hidden="false" customHeight="true" outlineLevel="0" collapsed="false">
      <c r="A8" s="1" t="n">
        <v>5</v>
      </c>
      <c r="B8" s="12" t="n">
        <f aca="false">Revenue!B8*Assumptions!$B$16</f>
        <v>62801.1154026667</v>
      </c>
      <c r="C8" s="12" t="n">
        <f aca="false">Revenue!B8*Assumptions!$B$17</f>
        <v>40372.145616</v>
      </c>
      <c r="D8" s="12" t="n">
        <f aca="false">Revenue!B8*Assumptions!$B$18</f>
        <v>22428.9697866667</v>
      </c>
      <c r="E8" s="12" t="n">
        <f aca="false">Revenue!B8*Assumptions!$B$20</f>
        <v>13457.381872</v>
      </c>
      <c r="F8" s="12" t="n">
        <f aca="false">Revenue!E8*Assumptions!$B$19</f>
        <v>22105.9926217387</v>
      </c>
      <c r="G8" s="12" t="n">
        <f aca="false">SUM(B8:F8)</f>
        <v>161165.605299072</v>
      </c>
      <c r="H8" s="12" t="n">
        <f aca="false">Revenue!G8-G8</f>
        <v>608596.637779328</v>
      </c>
      <c r="I8" s="18" t="n">
        <f aca="false">IF(Revenue!G8=0,0,H8/Revenue!G8)</f>
        <v>0.790629370629371</v>
      </c>
    </row>
    <row r="9" customFormat="false" ht="15" hidden="false" customHeight="true" outlineLevel="0" collapsed="false">
      <c r="A9" s="1" t="n">
        <v>6</v>
      </c>
      <c r="B9" s="12" t="n">
        <f aca="false">Revenue!B9*Assumptions!$B$16</f>
        <v>76455.2707007289</v>
      </c>
      <c r="C9" s="12" t="n">
        <f aca="false">Revenue!B9*Assumptions!$B$17</f>
        <v>49149.81687904</v>
      </c>
      <c r="D9" s="12" t="n">
        <f aca="false">Revenue!B9*Assumptions!$B$18</f>
        <v>27305.4538216889</v>
      </c>
      <c r="E9" s="12" t="n">
        <f aca="false">Revenue!B9*Assumptions!$B$20</f>
        <v>16383.2722930133</v>
      </c>
      <c r="F9" s="12" t="n">
        <f aca="false">Revenue!E9*Assumptions!$B$19</f>
        <v>26912.2552866566</v>
      </c>
      <c r="G9" s="12" t="n">
        <f aca="false">SUM(B9:F9)</f>
        <v>196206.068981128</v>
      </c>
      <c r="H9" s="12" t="n">
        <f aca="false">Revenue!G9-G9</f>
        <v>740917.106179235</v>
      </c>
      <c r="I9" s="18" t="n">
        <f aca="false">IF(Revenue!G9=0,0,H9/Revenue!G9)</f>
        <v>0.790629370629371</v>
      </c>
    </row>
    <row r="10" customFormat="false" ht="15" hidden="false" customHeight="true" outlineLevel="0" collapsed="false">
      <c r="A10" s="1" t="n">
        <v>7</v>
      </c>
      <c r="B10" s="12" t="n">
        <f aca="false">Revenue!B10*Assumptions!$B$16</f>
        <v>96912.3989031296</v>
      </c>
      <c r="C10" s="12" t="n">
        <f aca="false">Revenue!B10*Assumptions!$B$17</f>
        <v>62300.8278662976</v>
      </c>
      <c r="D10" s="12" t="n">
        <f aca="false">Revenue!B10*Assumptions!$B$18</f>
        <v>34611.571036832</v>
      </c>
      <c r="E10" s="12" t="n">
        <f aca="false">Revenue!B10*Assumptions!$B$20</f>
        <v>20766.9426220992</v>
      </c>
      <c r="F10" s="12" t="n">
        <f aca="false">Revenue!E10*Assumptions!$B$19</f>
        <v>34113.1644139016</v>
      </c>
      <c r="G10" s="12" t="n">
        <f aca="false">SUM(B10:F10)</f>
        <v>248704.90484226</v>
      </c>
      <c r="H10" s="12" t="n">
        <f aca="false">Revenue!G10-G10</f>
        <v>939164.213141814</v>
      </c>
      <c r="I10" s="18" t="n">
        <f aca="false">IF(Revenue!G10=0,0,H10/Revenue!G10)</f>
        <v>0.790629370629371</v>
      </c>
    </row>
    <row r="11" customFormat="false" ht="15" hidden="false" customHeight="true" outlineLevel="0" collapsed="false">
      <c r="A11" s="1" t="n">
        <v>8</v>
      </c>
      <c r="B11" s="12" t="n">
        <f aca="false">Revenue!B11*Assumptions!$B$16</f>
        <v>123764.321635609</v>
      </c>
      <c r="C11" s="12" t="n">
        <f aca="false">Revenue!B11*Assumptions!$B$17</f>
        <v>79562.7781943198</v>
      </c>
      <c r="D11" s="12" t="n">
        <f aca="false">Revenue!B11*Assumptions!$B$18</f>
        <v>44201.5434412888</v>
      </c>
      <c r="E11" s="12" t="n">
        <f aca="false">Revenue!B11*Assumptions!$B$20</f>
        <v>26520.9260647733</v>
      </c>
      <c r="F11" s="12" t="n">
        <f aca="false">Revenue!E11*Assumptions!$B$19</f>
        <v>43565.0412157342</v>
      </c>
      <c r="G11" s="12" t="n">
        <f aca="false">SUM(B11:F11)</f>
        <v>317614.610551725</v>
      </c>
      <c r="H11" s="12" t="n">
        <f aca="false">Revenue!G11-G11</f>
        <v>1199382.36035331</v>
      </c>
      <c r="I11" s="18" t="n">
        <f aca="false">IF(Revenue!G11=0,0,H11/Revenue!G11)</f>
        <v>0.790629370629371</v>
      </c>
    </row>
    <row r="12" customFormat="false" ht="15" hidden="false" customHeight="true" outlineLevel="0" collapsed="false">
      <c r="A12" s="1" t="n">
        <v>9</v>
      </c>
      <c r="B12" s="12" t="n">
        <f aca="false">Revenue!B12*Assumptions!$B$16</f>
        <v>149005.129004139</v>
      </c>
      <c r="C12" s="12" t="n">
        <f aca="false">Revenue!B12*Assumptions!$B$17</f>
        <v>95789.0115026606</v>
      </c>
      <c r="D12" s="12" t="n">
        <f aca="false">Revenue!B12*Assumptions!$B$18</f>
        <v>53216.1175014781</v>
      </c>
      <c r="E12" s="12" t="n">
        <f aca="false">Revenue!B12*Assumptions!$B$20</f>
        <v>31929.6705008869</v>
      </c>
      <c r="F12" s="12" t="n">
        <f aca="false">Revenue!E12*Assumptions!$B$19</f>
        <v>52449.8054094568</v>
      </c>
      <c r="G12" s="12" t="n">
        <f aca="false">SUM(B12:F12)</f>
        <v>382389.733918621</v>
      </c>
      <c r="H12" s="12" t="n">
        <f aca="false">Revenue!G12-G12</f>
        <v>1443987.41873211</v>
      </c>
      <c r="I12" s="18" t="n">
        <f aca="false">IF(Revenue!G12=0,0,H12/Revenue!G12)</f>
        <v>0.790629370629371</v>
      </c>
    </row>
    <row r="13" customFormat="false" ht="15" hidden="false" customHeight="true" outlineLevel="0" collapsed="false">
      <c r="A13" s="1" t="n">
        <v>10</v>
      </c>
      <c r="B13" s="12" t="n">
        <f aca="false">Revenue!B13*Assumptions!$B$16</f>
        <v>172731.487930557</v>
      </c>
      <c r="C13" s="12" t="n">
        <f aca="false">Revenue!B13*Assumptions!$B$17</f>
        <v>111041.670812501</v>
      </c>
      <c r="D13" s="12" t="n">
        <f aca="false">Revenue!B13*Assumptions!$B$18</f>
        <v>61689.8171180561</v>
      </c>
      <c r="E13" s="12" t="n">
        <f aca="false">Revenue!B13*Assumptions!$B$20</f>
        <v>37013.8902708336</v>
      </c>
      <c r="F13" s="12" t="n">
        <f aca="false">Revenue!E13*Assumptions!$B$19</f>
        <v>60801.4837515561</v>
      </c>
      <c r="G13" s="12" t="n">
        <f aca="false">SUM(B13:F13)</f>
        <v>443278.349883504</v>
      </c>
      <c r="H13" s="12" t="n">
        <f aca="false">Revenue!G13-G13</f>
        <v>1673916.17360818</v>
      </c>
      <c r="I13" s="18" t="n">
        <f aca="false">IF(Revenue!G13=0,0,H13/Revenue!G13)</f>
        <v>0.790629370629371</v>
      </c>
    </row>
    <row r="14" customFormat="false" ht="15" hidden="false" customHeight="true" outlineLevel="0" collapsed="false">
      <c r="A14" s="1" t="n">
        <v>11</v>
      </c>
      <c r="B14" s="12" t="n">
        <f aca="false">Revenue!B14*Assumptions!$B$16</f>
        <v>195034.26532139</v>
      </c>
      <c r="C14" s="12" t="n">
        <f aca="false">Revenue!B14*Assumptions!$B$17</f>
        <v>125379.170563751</v>
      </c>
      <c r="D14" s="12" t="n">
        <f aca="false">Revenue!B14*Assumptions!$B$18</f>
        <v>69655.0947576394</v>
      </c>
      <c r="E14" s="12" t="n">
        <f aca="false">Revenue!B14*Assumptions!$B$20</f>
        <v>41793.0568545836</v>
      </c>
      <c r="F14" s="12" t="n">
        <f aca="false">Revenue!E14*Assumptions!$B$19</f>
        <v>68652.0613931294</v>
      </c>
      <c r="G14" s="12" t="n">
        <f aca="false">SUM(B14:F14)</f>
        <v>500513.648890493</v>
      </c>
      <c r="H14" s="12" t="n">
        <f aca="false">Revenue!G14-G14</f>
        <v>1890049.20319169</v>
      </c>
      <c r="I14" s="18" t="n">
        <f aca="false">IF(Revenue!G14=0,0,H14/Revenue!G14)</f>
        <v>0.790629370629371</v>
      </c>
    </row>
    <row r="15" customFormat="false" ht="15" hidden="false" customHeight="true" outlineLevel="0" collapsed="false">
      <c r="A15" s="1" t="n">
        <v>12</v>
      </c>
      <c r="B15" s="12" t="n">
        <f aca="false">Revenue!B15*Assumptions!$B$16</f>
        <v>215998.876068773</v>
      </c>
      <c r="C15" s="12" t="n">
        <f aca="false">Revenue!B15*Assumptions!$B$17</f>
        <v>138856.420329926</v>
      </c>
      <c r="D15" s="12" t="n">
        <f aca="false">Revenue!B15*Assumptions!$B$18</f>
        <v>77142.4557388477</v>
      </c>
      <c r="E15" s="12" t="n">
        <f aca="false">Revenue!B15*Assumptions!$B$20</f>
        <v>46285.4734433086</v>
      </c>
      <c r="F15" s="12" t="n">
        <f aca="false">Revenue!E15*Assumptions!$B$19</f>
        <v>76031.6043762083</v>
      </c>
      <c r="G15" s="12" t="n">
        <f aca="false">SUM(B15:F15)</f>
        <v>554314.829957064</v>
      </c>
      <c r="H15" s="12" t="n">
        <f aca="false">Revenue!G15-G15</f>
        <v>2093214.25100019</v>
      </c>
      <c r="I15" s="18" t="n">
        <f aca="false">IF(Revenue!G15=0,0,H15/Revenue!G15)</f>
        <v>0.790629370629371</v>
      </c>
    </row>
    <row r="16" customFormat="false" ht="15" hidden="false" customHeight="true" outlineLevel="0" collapsed="false">
      <c r="A16" s="1" t="n">
        <v>13</v>
      </c>
      <c r="B16" s="12" t="n">
        <f aca="false">Revenue!B16*Assumptions!$B$16</f>
        <v>246651.03830681</v>
      </c>
      <c r="C16" s="12" t="n">
        <f aca="false">Revenue!B16*Assumptions!$B$17</f>
        <v>158561.381768664</v>
      </c>
      <c r="D16" s="12" t="n">
        <f aca="false">Revenue!B16*Assumptions!$B$18</f>
        <v>88089.6565381466</v>
      </c>
      <c r="E16" s="12" t="n">
        <f aca="false">Revenue!B16*Assumptions!$B$20</f>
        <v>52853.7939228879</v>
      </c>
      <c r="F16" s="12" t="n">
        <f aca="false">Revenue!E16*Assumptions!$B$19</f>
        <v>86821.1654839973</v>
      </c>
      <c r="G16" s="12" t="n">
        <f aca="false">SUM(B16:F16)</f>
        <v>632977.036020506</v>
      </c>
      <c r="H16" s="12" t="n">
        <f aca="false">Revenue!G16-G16</f>
        <v>2390259.97636868</v>
      </c>
      <c r="I16" s="18" t="n">
        <f aca="false">IF(Revenue!G16=0,0,H16/Revenue!G16)</f>
        <v>0.790629370629371</v>
      </c>
    </row>
    <row r="17" customFormat="false" ht="15" hidden="false" customHeight="true" outlineLevel="0" collapsed="false">
      <c r="A17" s="1" t="n">
        <v>14</v>
      </c>
      <c r="B17" s="12" t="n">
        <f aca="false">Revenue!B17*Assumptions!$B$16</f>
        <v>286486.532244545</v>
      </c>
      <c r="C17" s="12" t="n">
        <f aca="false">Revenue!B17*Assumptions!$B$17</f>
        <v>184169.913585779</v>
      </c>
      <c r="D17" s="12" t="n">
        <f aca="false">Revenue!B17*Assumptions!$B$18</f>
        <v>102316.618658766</v>
      </c>
      <c r="E17" s="12" t="n">
        <f aca="false">Revenue!B17*Assumptions!$B$20</f>
        <v>61389.9711952597</v>
      </c>
      <c r="F17" s="12" t="n">
        <f aca="false">Revenue!E17*Assumptions!$B$19</f>
        <v>100843.25935008</v>
      </c>
      <c r="G17" s="12" t="n">
        <f aca="false">SUM(B17:F17)</f>
        <v>735206.29503443</v>
      </c>
      <c r="H17" s="12" t="n">
        <f aca="false">Revenue!G17-G17</f>
        <v>2776300.05733443</v>
      </c>
      <c r="I17" s="18" t="n">
        <f aca="false">IF(Revenue!G17=0,0,H17/Revenue!G17)</f>
        <v>0.790629370629371</v>
      </c>
    </row>
    <row r="18" customFormat="false" ht="15" hidden="false" customHeight="true" outlineLevel="0" collapsed="false">
      <c r="A18" s="1" t="n">
        <v>15</v>
      </c>
      <c r="B18" s="12" t="n">
        <f aca="false">Revenue!B18*Assumptions!$B$16</f>
        <v>324104.728280138</v>
      </c>
      <c r="C18" s="12" t="n">
        <f aca="false">Revenue!B18*Assumptions!$B$17</f>
        <v>208353.03960866</v>
      </c>
      <c r="D18" s="12" t="n">
        <f aca="false">Revenue!B18*Assumptions!$B$18</f>
        <v>115751.688671478</v>
      </c>
      <c r="E18" s="12" t="n">
        <f aca="false">Revenue!B18*Assumptions!$B$20</f>
        <v>69451.0132028867</v>
      </c>
      <c r="F18" s="12" t="n">
        <f aca="false">Revenue!E18*Assumptions!$B$19</f>
        <v>114084.864354609</v>
      </c>
      <c r="G18" s="12" t="n">
        <f aca="false">SUM(B18:F18)</f>
        <v>831745.334117772</v>
      </c>
      <c r="H18" s="12" t="n">
        <f aca="false">Revenue!G18-G18</f>
        <v>3140852.62108735</v>
      </c>
      <c r="I18" s="18" t="n">
        <f aca="false">IF(Revenue!G18=0,0,H18/Revenue!G18)</f>
        <v>0.790629370629371</v>
      </c>
    </row>
    <row r="19" customFormat="false" ht="15" hidden="false" customHeight="true" outlineLevel="0" collapsed="false">
      <c r="A19" s="1" t="n">
        <v>16</v>
      </c>
      <c r="B19" s="12" t="n">
        <f aca="false">Revenue!B19*Assumptions!$B$16</f>
        <v>359674.641490758</v>
      </c>
      <c r="C19" s="12" t="n">
        <f aca="false">Revenue!B19*Assumptions!$B$17</f>
        <v>231219.412386916</v>
      </c>
      <c r="D19" s="12" t="n">
        <f aca="false">Revenue!B19*Assumptions!$B$18</f>
        <v>128455.229103842</v>
      </c>
      <c r="E19" s="12" t="n">
        <f aca="false">Revenue!B19*Assumptions!$B$20</f>
        <v>77073.1374623053</v>
      </c>
      <c r="F19" s="12" t="n">
        <f aca="false">Revenue!E19*Assumptions!$B$19</f>
        <v>126605.473804747</v>
      </c>
      <c r="G19" s="12" t="n">
        <f aca="false">SUM(B19:F19)</f>
        <v>923027.894248568</v>
      </c>
      <c r="H19" s="12" t="n">
        <f aca="false">Revenue!G19-G19</f>
        <v>3485555.56859529</v>
      </c>
      <c r="I19" s="18" t="n">
        <f aca="false">IF(Revenue!G19=0,0,H19/Revenue!G19)</f>
        <v>0.790629370629371</v>
      </c>
    </row>
    <row r="20" customFormat="false" ht="15" hidden="false" customHeight="true" outlineLevel="0" collapsed="false">
      <c r="A20" s="1" t="n">
        <v>17</v>
      </c>
      <c r="B20" s="12" t="n">
        <f aca="false">Revenue!B20*Assumptions!$B$16</f>
        <v>393352.19867892</v>
      </c>
      <c r="C20" s="12" t="n">
        <f aca="false">Revenue!B20*Assumptions!$B$17</f>
        <v>252869.270579306</v>
      </c>
      <c r="D20" s="12" t="n">
        <f aca="false">Revenue!B20*Assumptions!$B$18</f>
        <v>140482.928099614</v>
      </c>
      <c r="E20" s="12" t="n">
        <f aca="false">Revenue!B20*Assumptions!$B$20</f>
        <v>84289.7568597687</v>
      </c>
      <c r="F20" s="12" t="n">
        <f aca="false">Revenue!E20*Assumptions!$B$19</f>
        <v>138459.97393498</v>
      </c>
      <c r="G20" s="12" t="n">
        <f aca="false">SUM(B20:F20)</f>
        <v>1009454.12815259</v>
      </c>
      <c r="H20" s="12" t="n">
        <f aca="false">Revenue!G20-G20</f>
        <v>3811919.96422618</v>
      </c>
      <c r="I20" s="18" t="n">
        <f aca="false">IF(Revenue!G20=0,0,H20/Revenue!G20)</f>
        <v>0.790629370629371</v>
      </c>
    </row>
    <row r="21" customFormat="false" ht="15" hidden="false" customHeight="true" outlineLevel="0" collapsed="false">
      <c r="A21" s="1" t="n">
        <v>18</v>
      </c>
      <c r="B21" s="12" t="n">
        <f aca="false">Revenue!B21*Assumptions!$B$16</f>
        <v>425281.325848484</v>
      </c>
      <c r="C21" s="12" t="n">
        <f aca="false">Revenue!B21*Assumptions!$B$17</f>
        <v>273395.138045454</v>
      </c>
      <c r="D21" s="12" t="n">
        <f aca="false">Revenue!B21*Assumptions!$B$18</f>
        <v>151886.18780303</v>
      </c>
      <c r="E21" s="12" t="n">
        <f aca="false">Revenue!B21*Assumptions!$B$20</f>
        <v>91131.7126818181</v>
      </c>
      <c r="F21" s="12" t="n">
        <f aca="false">Revenue!E21*Assumptions!$B$19</f>
        <v>149699.026698667</v>
      </c>
      <c r="G21" s="12" t="n">
        <f aca="false">SUM(B21:F21)</f>
        <v>1091393.39107745</v>
      </c>
      <c r="H21" s="12" t="n">
        <f aca="false">Revenue!G21-G21</f>
        <v>4121340.57432254</v>
      </c>
      <c r="I21" s="18" t="n">
        <f aca="false">IF(Revenue!G21=0,0,H21/Revenue!G21)</f>
        <v>0.790629370629371</v>
      </c>
    </row>
    <row r="22" customFormat="false" ht="15" hidden="false" customHeight="true" outlineLevel="0" collapsed="false">
      <c r="A22" s="1" t="n">
        <v>19</v>
      </c>
      <c r="B22" s="12" t="n">
        <f aca="false">Revenue!B22*Assumptions!$B$16</f>
        <v>455594.941233332</v>
      </c>
      <c r="C22" s="12" t="n">
        <f aca="false">Revenue!B22*Assumptions!$B$17</f>
        <v>292882.462221428</v>
      </c>
      <c r="D22" s="12" t="n">
        <f aca="false">Revenue!B22*Assumptions!$B$18</f>
        <v>162712.479011904</v>
      </c>
      <c r="E22" s="12" t="n">
        <f aca="false">Revenue!B22*Assumptions!$B$20</f>
        <v>97627.4874071426</v>
      </c>
      <c r="F22" s="12" t="n">
        <f aca="false">Revenue!E22*Assumptions!$B$19</f>
        <v>160369.419314133</v>
      </c>
      <c r="G22" s="12" t="n">
        <f aca="false">SUM(B22:F22)</f>
        <v>1169186.78918794</v>
      </c>
      <c r="H22" s="12" t="n">
        <f aca="false">Revenue!G22-G22</f>
        <v>4415105.49050062</v>
      </c>
      <c r="I22" s="18" t="n">
        <f aca="false">IF(Revenue!G22=0,0,H22/Revenue!G22)</f>
        <v>0.790629370629371</v>
      </c>
    </row>
    <row r="23" customFormat="false" ht="15" hidden="false" customHeight="true" outlineLevel="0" collapsed="false">
      <c r="A23" s="1" t="n">
        <v>20</v>
      </c>
      <c r="B23" s="12" t="n">
        <f aca="false">Revenue!B23*Assumptions!$B$16</f>
        <v>484415.862454943</v>
      </c>
      <c r="C23" s="12" t="n">
        <f aca="false">Revenue!B23*Assumptions!$B$17</f>
        <v>311410.197292463</v>
      </c>
      <c r="D23" s="12" t="n">
        <f aca="false">Revenue!B23*Assumptions!$B$18</f>
        <v>173005.66516248</v>
      </c>
      <c r="E23" s="12" t="n">
        <f aca="false">Revenue!B23*Assumptions!$B$20</f>
        <v>103803.399097488</v>
      </c>
      <c r="F23" s="12" t="n">
        <f aca="false">Revenue!E23*Assumptions!$B$19</f>
        <v>170514.38358414</v>
      </c>
      <c r="G23" s="12" t="n">
        <f aca="false">SUM(B23:F23)</f>
        <v>1243149.50759151</v>
      </c>
      <c r="H23" s="12" t="n">
        <f aca="false">Revenue!G23-G23</f>
        <v>4694404.92078479</v>
      </c>
      <c r="I23" s="18" t="n">
        <f aca="false">IF(Revenue!G23=0,0,H23/Revenue!G23)</f>
        <v>0.790629370629371</v>
      </c>
    </row>
    <row r="24" customFormat="false" ht="15" hidden="false" customHeight="true" outlineLevel="0" collapsed="false">
      <c r="A24" s="1" t="n">
        <v>21</v>
      </c>
      <c r="B24" s="12" t="n">
        <f aca="false">Revenue!B24*Assumptions!$B$16</f>
        <v>511857.635576288</v>
      </c>
      <c r="C24" s="12" t="n">
        <f aca="false">Revenue!B24*Assumptions!$B$17</f>
        <v>329051.337156185</v>
      </c>
      <c r="D24" s="12" t="n">
        <f aca="false">Revenue!B24*Assumptions!$B$18</f>
        <v>182806.298420103</v>
      </c>
      <c r="E24" s="12" t="n">
        <f aca="false">Revenue!B24*Assumptions!$B$20</f>
        <v>109683.779052062</v>
      </c>
      <c r="F24" s="12" t="n">
        <f aca="false">Revenue!E24*Assumptions!$B$19</f>
        <v>180173.887722853</v>
      </c>
      <c r="G24" s="12" t="n">
        <f aca="false">SUM(B24:F24)</f>
        <v>1313572.93792749</v>
      </c>
      <c r="H24" s="12" t="n">
        <f aca="false">Revenue!G24-G24</f>
        <v>4960339.22385044</v>
      </c>
      <c r="I24" s="18" t="n">
        <f aca="false">IF(Revenue!G24=0,0,H24/Revenue!G24)</f>
        <v>0.790629370629371</v>
      </c>
    </row>
    <row r="25" customFormat="false" ht="15" hidden="false" customHeight="true" outlineLevel="0" collapsed="false">
      <c r="A25" s="1" t="n">
        <v>22</v>
      </c>
      <c r="B25" s="12" t="n">
        <f aca="false">Revenue!B25*Assumptions!$B$16</f>
        <v>538025.293089659</v>
      </c>
      <c r="C25" s="12" t="n">
        <f aca="false">Revenue!B25*Assumptions!$B$17</f>
        <v>345873.402700495</v>
      </c>
      <c r="D25" s="12" t="n">
        <f aca="false">Revenue!B25*Assumptions!$B$18</f>
        <v>192151.890389164</v>
      </c>
      <c r="E25" s="12" t="n">
        <f aca="false">Revenue!B25*Assumptions!$B$20</f>
        <v>115291.134233498</v>
      </c>
      <c r="F25" s="12" t="n">
        <f aca="false">Revenue!E25*Assumptions!$B$19</f>
        <v>189384.90316756</v>
      </c>
      <c r="G25" s="12" t="n">
        <f aca="false">SUM(B25:F25)</f>
        <v>1380726.62358038</v>
      </c>
      <c r="H25" s="12" t="n">
        <f aca="false">Revenue!G25-G25</f>
        <v>5213926.25457573</v>
      </c>
      <c r="I25" s="18" t="n">
        <f aca="false">IF(Revenue!G25=0,0,H25/Revenue!G25)</f>
        <v>0.790629370629371</v>
      </c>
    </row>
    <row r="26" customFormat="false" ht="15" hidden="false" customHeight="true" outlineLevel="0" collapsed="false">
      <c r="A26" s="1" t="n">
        <v>23</v>
      </c>
      <c r="B26" s="12" t="n">
        <f aca="false">Revenue!B26*Assumptions!$B$16</f>
        <v>563016.047217307</v>
      </c>
      <c r="C26" s="12" t="n">
        <f aca="false">Revenue!B26*Assumptions!$B$17</f>
        <v>361938.88749684</v>
      </c>
      <c r="D26" s="12" t="n">
        <f aca="false">Revenue!B26*Assumptions!$B$18</f>
        <v>201077.159720467</v>
      </c>
      <c r="E26" s="12" t="n">
        <f aca="false">Revenue!B26*Assumptions!$B$20</f>
        <v>120646.29583228</v>
      </c>
      <c r="F26" s="12" t="n">
        <f aca="false">Revenue!E26*Assumptions!$B$19</f>
        <v>198181.648620492</v>
      </c>
      <c r="G26" s="12" t="n">
        <f aca="false">SUM(B26:F26)</f>
        <v>1444860.03888739</v>
      </c>
      <c r="H26" s="12" t="n">
        <f aca="false">Revenue!G26-G26</f>
        <v>5456108.08271903</v>
      </c>
      <c r="I26" s="18" t="n">
        <f aca="false">IF(Revenue!G26=0,0,H26/Revenue!G26)</f>
        <v>0.790629370629371</v>
      </c>
    </row>
    <row r="27" customFormat="false" ht="15" hidden="false" customHeight="true" outlineLevel="0" collapsed="false">
      <c r="A27" s="1" t="n">
        <v>24</v>
      </c>
      <c r="B27" s="12" t="n">
        <f aca="false">Revenue!B27*Assumptions!$B$16</f>
        <v>586919.924308882</v>
      </c>
      <c r="C27" s="12" t="n">
        <f aca="false">Revenue!B27*Assumptions!$B$17</f>
        <v>377305.665627139</v>
      </c>
      <c r="D27" s="12" t="n">
        <f aca="false">Revenue!B27*Assumptions!$B$18</f>
        <v>209614.258681744</v>
      </c>
      <c r="E27" s="12" t="n">
        <f aca="false">Revenue!B27*Assumptions!$B$20</f>
        <v>125768.555209046</v>
      </c>
      <c r="F27" s="12" t="n">
        <f aca="false">Revenue!E27*Assumptions!$B$19</f>
        <v>206595.813356727</v>
      </c>
      <c r="G27" s="12" t="n">
        <f aca="false">SUM(B27:F27)</f>
        <v>1506204.21718354</v>
      </c>
      <c r="H27" s="12" t="n">
        <f aca="false">Revenue!G27-G27</f>
        <v>5687757.14077391</v>
      </c>
      <c r="I27" s="18" t="n">
        <f aca="false">IF(Revenue!G27=0,0,H27/Revenue!G27)</f>
        <v>0.790629370629371</v>
      </c>
    </row>
    <row r="28" customFormat="false" ht="15" hidden="false" customHeight="true" outlineLevel="0" collapsed="false">
      <c r="A28" s="1" t="n">
        <v>25</v>
      </c>
      <c r="B28" s="12" t="n">
        <f aca="false">Revenue!B28*Assumptions!$B$16</f>
        <v>620709.234471216</v>
      </c>
      <c r="C28" s="12" t="n">
        <f aca="false">Revenue!B28*Assumptions!$B$17</f>
        <v>399027.36501721</v>
      </c>
      <c r="D28" s="12" t="n">
        <f aca="false">Revenue!B28*Assumptions!$B$18</f>
        <v>221681.869454006</v>
      </c>
      <c r="E28" s="12" t="n">
        <f aca="false">Revenue!B28*Assumptions!$B$20</f>
        <v>133009.121672403</v>
      </c>
      <c r="F28" s="12" t="n">
        <f aca="false">Revenue!E28*Assumptions!$B$19</f>
        <v>218489.650533868</v>
      </c>
      <c r="G28" s="12" t="n">
        <f aca="false">SUM(B28:F28)</f>
        <v>1592917.2411487</v>
      </c>
      <c r="H28" s="12" t="n">
        <f aca="false">Revenue!G28-G28</f>
        <v>6015204.51851277</v>
      </c>
      <c r="I28" s="18" t="n">
        <f aca="false">IF(Revenue!G28=0,0,H28/Revenue!G28)</f>
        <v>0.790629370629371</v>
      </c>
    </row>
    <row r="29" customFormat="false" ht="15" hidden="false" customHeight="true" outlineLevel="0" collapsed="false">
      <c r="A29" s="1" t="n">
        <v>26</v>
      </c>
      <c r="B29" s="12" t="n">
        <f aca="false">Revenue!B29*Assumptions!$B$16</f>
        <v>663884.214524784</v>
      </c>
      <c r="C29" s="12" t="n">
        <f aca="false">Revenue!B29*Assumptions!$B$17</f>
        <v>426782.709337361</v>
      </c>
      <c r="D29" s="12" t="n">
        <f aca="false">Revenue!B29*Assumptions!$B$18</f>
        <v>237101.505187423</v>
      </c>
      <c r="E29" s="12" t="n">
        <f aca="false">Revenue!B29*Assumptions!$B$20</f>
        <v>142260.903112454</v>
      </c>
      <c r="F29" s="12" t="n">
        <f aca="false">Revenue!E29*Assumptions!$B$19</f>
        <v>233687.243512724</v>
      </c>
      <c r="G29" s="12" t="n">
        <f aca="false">SUM(B29:F29)</f>
        <v>1703716.57567474</v>
      </c>
      <c r="H29" s="12" t="n">
        <f aca="false">Revenue!G29-G29</f>
        <v>6433607.0823576</v>
      </c>
      <c r="I29" s="18" t="n">
        <f aca="false">IF(Revenue!G29=0,0,H29/Revenue!G29)</f>
        <v>0.790629370629371</v>
      </c>
    </row>
    <row r="30" customFormat="false" ht="15" hidden="false" customHeight="true" outlineLevel="0" collapsed="false">
      <c r="A30" s="1" t="n">
        <v>27</v>
      </c>
      <c r="B30" s="12" t="n">
        <f aca="false">Revenue!B30*Assumptions!$B$16</f>
        <v>705091.813608899</v>
      </c>
      <c r="C30" s="12" t="n">
        <f aca="false">Revenue!B30*Assumptions!$B$17</f>
        <v>453273.308748578</v>
      </c>
      <c r="D30" s="12" t="n">
        <f aca="false">Revenue!B30*Assumptions!$B$18</f>
        <v>251818.504860321</v>
      </c>
      <c r="E30" s="12" t="n">
        <f aca="false">Revenue!B30*Assumptions!$B$20</f>
        <v>151091.102916193</v>
      </c>
      <c r="F30" s="12" t="n">
        <f aca="false">Revenue!E30*Assumptions!$B$19</f>
        <v>248192.318390333</v>
      </c>
      <c r="G30" s="12" t="n">
        <f aca="false">SUM(B30:F30)</f>
        <v>1809467.04852432</v>
      </c>
      <c r="H30" s="12" t="n">
        <f aca="false">Revenue!G30-G30</f>
        <v>6832944.0382819</v>
      </c>
      <c r="I30" s="18" t="n">
        <f aca="false">IF(Revenue!G30=0,0,H30/Revenue!G30)</f>
        <v>0.790629370629371</v>
      </c>
    </row>
    <row r="31" customFormat="false" ht="15" hidden="false" customHeight="true" outlineLevel="0" collapsed="false">
      <c r="A31" s="1" t="n">
        <v>28</v>
      </c>
      <c r="B31" s="12" t="n">
        <f aca="false">Revenue!B31*Assumptions!$B$16</f>
        <v>744478.021291752</v>
      </c>
      <c r="C31" s="12" t="n">
        <f aca="false">Revenue!B31*Assumptions!$B$17</f>
        <v>478593.013687555</v>
      </c>
      <c r="D31" s="12" t="n">
        <f aca="false">Revenue!B31*Assumptions!$B$18</f>
        <v>265885.007604197</v>
      </c>
      <c r="E31" s="12" t="n">
        <f aca="false">Revenue!B31*Assumptions!$B$20</f>
        <v>159531.004562518</v>
      </c>
      <c r="F31" s="12" t="n">
        <f aca="false">Revenue!E31*Assumptions!$B$19</f>
        <v>262056.263494697</v>
      </c>
      <c r="G31" s="12" t="n">
        <f aca="false">SUM(B31:F31)</f>
        <v>1910543.31064072</v>
      </c>
      <c r="H31" s="12" t="n">
        <f aca="false">Revenue!G31-G31</f>
        <v>7214630.15033533</v>
      </c>
      <c r="I31" s="18" t="n">
        <f aca="false">IF(Revenue!G31=0,0,H31/Revenue!G31)</f>
        <v>0.790629370629371</v>
      </c>
    </row>
    <row r="32" customFormat="false" ht="15" hidden="false" customHeight="true" outlineLevel="0" collapsed="false">
      <c r="A32" s="1" t="n">
        <v>29</v>
      </c>
      <c r="B32" s="12" t="n">
        <f aca="false">Revenue!B32*Assumptions!$B$16</f>
        <v>782178.319742351</v>
      </c>
      <c r="C32" s="12" t="n">
        <f aca="false">Revenue!B32*Assumptions!$B$17</f>
        <v>502828.919834369</v>
      </c>
      <c r="D32" s="12" t="n">
        <f aca="false">Revenue!B32*Assumptions!$B$18</f>
        <v>279349.399907983</v>
      </c>
      <c r="E32" s="12" t="n">
        <f aca="false">Revenue!B32*Assumptions!$B$20</f>
        <v>167609.63994479</v>
      </c>
      <c r="F32" s="12" t="n">
        <f aca="false">Revenue!E32*Assumptions!$B$19</f>
        <v>275326.768549308</v>
      </c>
      <c r="G32" s="12" t="n">
        <f aca="false">SUM(B32:F32)</f>
        <v>2007293.0479788</v>
      </c>
      <c r="H32" s="12" t="n">
        <f aca="false">Revenue!G32-G32</f>
        <v>7579978.35686316</v>
      </c>
      <c r="I32" s="18" t="n">
        <f aca="false">IF(Revenue!G32=0,0,H32/Revenue!G32)</f>
        <v>0.790629370629371</v>
      </c>
    </row>
    <row r="33" customFormat="false" ht="15" hidden="false" customHeight="true" outlineLevel="0" collapsed="false">
      <c r="A33" s="1" t="n">
        <v>30</v>
      </c>
      <c r="B33" s="12" t="n">
        <f aca="false">Revenue!B33*Assumptions!$B$16</f>
        <v>818318.514322165</v>
      </c>
      <c r="C33" s="12" t="n">
        <f aca="false">Revenue!B33*Assumptions!$B$17</f>
        <v>526061.902064249</v>
      </c>
      <c r="D33" s="12" t="n">
        <f aca="false">Revenue!B33*Assumptions!$B$18</f>
        <v>292256.612257916</v>
      </c>
      <c r="E33" s="12" t="n">
        <f aca="false">Revenue!B33*Assumptions!$B$20</f>
        <v>175353.96735475</v>
      </c>
      <c r="F33" s="12" t="n">
        <f aca="false">Revenue!E33*Assumptions!$B$19</f>
        <v>288048.117041402</v>
      </c>
      <c r="G33" s="12" t="n">
        <f aca="false">SUM(B33:F33)</f>
        <v>2100039.11304048</v>
      </c>
      <c r="H33" s="12" t="n">
        <f aca="false">Revenue!G33-G33</f>
        <v>7930207.8196512</v>
      </c>
      <c r="I33" s="18" t="n">
        <f aca="false">IF(Revenue!G33=0,0,H33/Revenue!G33)</f>
        <v>0.790629370629371</v>
      </c>
    </row>
    <row r="34" customFormat="false" ht="15" hidden="false" customHeight="true" outlineLevel="0" collapsed="false">
      <c r="A34" s="1" t="n">
        <v>31</v>
      </c>
      <c r="B34" s="12" t="n">
        <f aca="false">Revenue!B34*Assumptions!$B$16</f>
        <v>853015.495746795</v>
      </c>
      <c r="C34" s="12" t="n">
        <f aca="false">Revenue!B34*Assumptions!$B$17</f>
        <v>548367.104408654</v>
      </c>
      <c r="D34" s="12" t="n">
        <f aca="false">Revenue!B34*Assumptions!$B$18</f>
        <v>304648.391338141</v>
      </c>
      <c r="E34" s="12" t="n">
        <f aca="false">Revenue!B34*Assumptions!$B$20</f>
        <v>182789.034802885</v>
      </c>
      <c r="F34" s="12" t="n">
        <f aca="false">Revenue!E34*Assumptions!$B$19</f>
        <v>300261.454502872</v>
      </c>
      <c r="G34" s="12" t="n">
        <f aca="false">SUM(B34:F34)</f>
        <v>2189081.48079935</v>
      </c>
      <c r="H34" s="12" t="n">
        <f aca="false">Revenue!G34-G34</f>
        <v>8266451.30992566</v>
      </c>
      <c r="I34" s="18" t="n">
        <f aca="false">IF(Revenue!G34=0,0,H34/Revenue!G34)</f>
        <v>0.790629370629371</v>
      </c>
    </row>
    <row r="35" customFormat="false" ht="15" hidden="false" customHeight="true" outlineLevel="0" collapsed="false">
      <c r="A35" s="1" t="n">
        <v>32</v>
      </c>
      <c r="B35" s="12" t="n">
        <f aca="false">Revenue!B35*Assumptions!$B$16</f>
        <v>886377.93974884</v>
      </c>
      <c r="C35" s="12" t="n">
        <f aca="false">Revenue!B35*Assumptions!$B$17</f>
        <v>569814.38983854</v>
      </c>
      <c r="D35" s="12" t="n">
        <f aca="false">Revenue!B35*Assumptions!$B$18</f>
        <v>316563.5499103</v>
      </c>
      <c r="E35" s="12" t="n">
        <f aca="false">Revenue!B35*Assumptions!$B$20</f>
        <v>189938.12994618</v>
      </c>
      <c r="F35" s="12" t="n">
        <f aca="false">Revenue!E35*Assumptions!$B$19</f>
        <v>312005.034791591</v>
      </c>
      <c r="G35" s="12" t="n">
        <f aca="false">SUM(B35:F35)</f>
        <v>2274699.04423545</v>
      </c>
      <c r="H35" s="12" t="n">
        <f aca="false">Revenue!G35-G35</f>
        <v>8589761.98868604</v>
      </c>
      <c r="I35" s="18" t="n">
        <f aca="false">IF(Revenue!G35=0,0,H35/Revenue!G35)</f>
        <v>0.790629370629371</v>
      </c>
    </row>
    <row r="36" customFormat="false" ht="15" hidden="false" customHeight="true" outlineLevel="0" collapsed="false">
      <c r="A36" s="1" t="n">
        <v>33</v>
      </c>
      <c r="B36" s="12" t="n">
        <f aca="false">Revenue!B36*Assumptions!$B$16</f>
        <v>918281.26498362</v>
      </c>
      <c r="C36" s="12" t="n">
        <f aca="false">Revenue!B36*Assumptions!$B$17</f>
        <v>590323.670346613</v>
      </c>
      <c r="D36" s="12" t="n">
        <f aca="false">Revenue!B36*Assumptions!$B$18</f>
        <v>327957.594637007</v>
      </c>
      <c r="E36" s="12" t="n">
        <f aca="false">Revenue!B36*Assumptions!$B$20</f>
        <v>196774.556782204</v>
      </c>
      <c r="F36" s="12" t="n">
        <f aca="false">Revenue!E36*Assumptions!$B$19</f>
        <v>323235.005274234</v>
      </c>
      <c r="G36" s="12" t="n">
        <f aca="false">SUM(B36:F36)</f>
        <v>2356572.09202368</v>
      </c>
      <c r="H36" s="12" t="n">
        <f aca="false">Revenue!G36-G36</f>
        <v>8898932.5559184</v>
      </c>
      <c r="I36" s="18" t="n">
        <f aca="false">IF(Revenue!G36=0,0,H36/Revenue!G36)</f>
        <v>0.790629370629371</v>
      </c>
    </row>
    <row r="37" customFormat="false" ht="15" hidden="false" customHeight="true" outlineLevel="0" collapsed="false">
      <c r="A37" s="1" t="n">
        <v>34</v>
      </c>
      <c r="B37" s="12" t="n">
        <f aca="false">Revenue!B37*Assumptions!$B$16</f>
        <v>948589.423956661</v>
      </c>
      <c r="C37" s="12" t="n">
        <f aca="false">Revenue!B37*Assumptions!$B$17</f>
        <v>609807.486829282</v>
      </c>
      <c r="D37" s="12" t="n">
        <f aca="false">Revenue!B37*Assumptions!$B$18</f>
        <v>338781.937127379</v>
      </c>
      <c r="E37" s="12" t="n">
        <f aca="false">Revenue!B37*Assumptions!$B$20</f>
        <v>203269.162276427</v>
      </c>
      <c r="F37" s="12" t="n">
        <f aca="false">Revenue!E37*Assumptions!$B$19</f>
        <v>333903.477232745</v>
      </c>
      <c r="G37" s="12" t="n">
        <f aca="false">SUM(B37:F37)</f>
        <v>2434351.48742249</v>
      </c>
      <c r="H37" s="12" t="n">
        <f aca="false">Revenue!G37-G37</f>
        <v>9192644.59478915</v>
      </c>
      <c r="I37" s="18" t="n">
        <f aca="false">IF(Revenue!G37=0,0,H37/Revenue!G37)</f>
        <v>0.790629370629371</v>
      </c>
    </row>
    <row r="38" customFormat="false" ht="15" hidden="false" customHeight="true" outlineLevel="0" collapsed="false">
      <c r="A38" s="1" t="n">
        <v>35</v>
      </c>
      <c r="B38" s="12" t="n">
        <f aca="false">Revenue!B38*Assumptions!$B$16</f>
        <v>977382.17498105</v>
      </c>
      <c r="C38" s="12" t="n">
        <f aca="false">Revenue!B38*Assumptions!$B$17</f>
        <v>628317.112487818</v>
      </c>
      <c r="D38" s="12" t="n">
        <f aca="false">Revenue!B38*Assumptions!$B$18</f>
        <v>349065.062493232</v>
      </c>
      <c r="E38" s="12" t="n">
        <f aca="false">Revenue!B38*Assumptions!$B$20</f>
        <v>209439.037495939</v>
      </c>
      <c r="F38" s="12" t="n">
        <f aca="false">Revenue!E38*Assumptions!$B$19</f>
        <v>344038.52559333</v>
      </c>
      <c r="G38" s="12" t="n">
        <f aca="false">SUM(B38:F38)</f>
        <v>2508241.91305137</v>
      </c>
      <c r="H38" s="12" t="n">
        <f aca="false">Revenue!G38-G38</f>
        <v>9471671.03171636</v>
      </c>
      <c r="I38" s="18" t="n">
        <f aca="false">IF(Revenue!G38=0,0,H38/Revenue!G38)</f>
        <v>0.790629370629371</v>
      </c>
    </row>
    <row r="39" customFormat="false" ht="15" hidden="false" customHeight="true" outlineLevel="0" collapsed="false">
      <c r="A39" s="1" t="n">
        <v>36</v>
      </c>
      <c r="B39" s="12" t="n">
        <f aca="false">Revenue!B39*Assumptions!$B$16</f>
        <v>1004735.28845422</v>
      </c>
      <c r="C39" s="12" t="n">
        <f aca="false">Revenue!B39*Assumptions!$B$17</f>
        <v>645901.256863427</v>
      </c>
      <c r="D39" s="12" t="n">
        <f aca="false">Revenue!B39*Assumptions!$B$18</f>
        <v>358834.031590793</v>
      </c>
      <c r="E39" s="12" t="n">
        <f aca="false">Revenue!B39*Assumptions!$B$20</f>
        <v>215300.418954476</v>
      </c>
      <c r="F39" s="12" t="n">
        <f aca="false">Revenue!E39*Assumptions!$B$19</f>
        <v>353666.821535885</v>
      </c>
      <c r="G39" s="12" t="n">
        <f aca="false">SUM(B39:F39)</f>
        <v>2578437.8173988</v>
      </c>
      <c r="H39" s="12" t="n">
        <f aca="false">Revenue!G39-G39</f>
        <v>9736746.14679721</v>
      </c>
      <c r="I39" s="18" t="n">
        <f aca="false">IF(Revenue!G39=0,0,H39/Revenue!G39)</f>
        <v>0.790629370629371</v>
      </c>
    </row>
    <row r="41" customFormat="false" ht="15" hidden="false" customHeight="true" outlineLevel="0" collapsed="false">
      <c r="A41" s="14" t="s">
        <v>155</v>
      </c>
      <c r="B41" s="15" t="n">
        <f aca="false">SUM(H4:H15)</f>
        <v>11224336.7343304</v>
      </c>
      <c r="C41" s="15" t="n">
        <f aca="false">SUM(H16:H27)</f>
        <v>50153869.875139</v>
      </c>
      <c r="D41" s="15" t="n">
        <f aca="false">SUM(H28:H39)</f>
        <v>96162779.5938348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15"/>
    <col collapsed="false" customWidth="true" hidden="false" outlineLevel="0" max="6" min="6" style="1" width="34"/>
  </cols>
  <sheetData>
    <row r="1" customFormat="false" ht="15.75" hidden="false" customHeight="true" outlineLevel="0" collapsed="false">
      <c r="A1" s="2" t="s">
        <v>156</v>
      </c>
    </row>
    <row r="3" customFormat="false" ht="26.25" hidden="false" customHeight="true" outlineLevel="0" collapsed="false">
      <c r="A3" s="11" t="s">
        <v>157</v>
      </c>
      <c r="B3" s="11" t="s">
        <v>158</v>
      </c>
      <c r="C3" s="11" t="s">
        <v>159</v>
      </c>
      <c r="D3" s="11" t="s">
        <v>160</v>
      </c>
      <c r="E3" s="11" t="s">
        <v>161</v>
      </c>
      <c r="F3" s="11" t="s">
        <v>162</v>
      </c>
    </row>
    <row r="4" customFormat="false" ht="15" hidden="false" customHeight="true" outlineLevel="0" collapsed="false">
      <c r="A4" s="1" t="s">
        <v>163</v>
      </c>
      <c r="B4" s="17" t="n">
        <v>1</v>
      </c>
      <c r="C4" s="17" t="n">
        <v>1</v>
      </c>
      <c r="D4" s="17" t="n">
        <v>1</v>
      </c>
      <c r="E4" s="17" t="n">
        <v>250000</v>
      </c>
      <c r="F4" s="1" t="s">
        <v>164</v>
      </c>
    </row>
    <row r="5" customFormat="false" ht="15" hidden="false" customHeight="true" outlineLevel="0" collapsed="false">
      <c r="A5" s="1" t="s">
        <v>165</v>
      </c>
      <c r="B5" s="17" t="n">
        <v>2</v>
      </c>
      <c r="C5" s="17" t="n">
        <v>3</v>
      </c>
      <c r="D5" s="17" t="n">
        <v>5</v>
      </c>
      <c r="E5" s="17" t="n">
        <v>300000</v>
      </c>
      <c r="F5" s="1" t="s">
        <v>166</v>
      </c>
    </row>
    <row r="6" customFormat="false" ht="15" hidden="false" customHeight="true" outlineLevel="0" collapsed="false">
      <c r="A6" s="1" t="s">
        <v>167</v>
      </c>
      <c r="B6" s="17" t="n">
        <v>0.5</v>
      </c>
      <c r="C6" s="17" t="n">
        <v>1</v>
      </c>
      <c r="D6" s="17" t="n">
        <v>1</v>
      </c>
      <c r="E6" s="17" t="n">
        <v>250000</v>
      </c>
      <c r="F6" s="1" t="s">
        <v>168</v>
      </c>
    </row>
    <row r="7" customFormat="false" ht="15" hidden="false" customHeight="true" outlineLevel="0" collapsed="false">
      <c r="A7" s="1" t="s">
        <v>169</v>
      </c>
      <c r="B7" s="17" t="n">
        <v>0.5</v>
      </c>
      <c r="C7" s="17" t="n">
        <v>1</v>
      </c>
      <c r="D7" s="17" t="n">
        <v>1</v>
      </c>
      <c r="E7" s="17" t="n">
        <v>180000</v>
      </c>
    </row>
    <row r="8" customFormat="false" ht="15" hidden="false" customHeight="true" outlineLevel="0" collapsed="false">
      <c r="A8" s="1" t="s">
        <v>170</v>
      </c>
      <c r="B8" s="17" t="n">
        <v>0</v>
      </c>
      <c r="C8" s="17" t="n">
        <v>1</v>
      </c>
      <c r="D8" s="17" t="n">
        <v>2</v>
      </c>
      <c r="E8" s="17" t="n">
        <v>220000</v>
      </c>
    </row>
    <row r="9" customFormat="false" ht="15" hidden="false" customHeight="true" outlineLevel="0" collapsed="false">
      <c r="A9" s="1" t="s">
        <v>171</v>
      </c>
      <c r="B9" s="17" t="n">
        <v>0</v>
      </c>
      <c r="C9" s="17" t="n">
        <v>1</v>
      </c>
      <c r="D9" s="17" t="n">
        <v>2</v>
      </c>
      <c r="E9" s="17" t="n">
        <v>150000</v>
      </c>
    </row>
    <row r="10" customFormat="false" ht="15" hidden="false" customHeight="true" outlineLevel="0" collapsed="false">
      <c r="A10" s="1" t="s">
        <v>172</v>
      </c>
      <c r="B10" s="17" t="n">
        <v>0</v>
      </c>
      <c r="C10" s="17" t="n">
        <v>0.5</v>
      </c>
      <c r="D10" s="17" t="n">
        <v>1</v>
      </c>
      <c r="E10" s="17" t="n">
        <v>140000</v>
      </c>
    </row>
    <row r="11" customFormat="false" ht="15" hidden="false" customHeight="true" outlineLevel="0" collapsed="false">
      <c r="A11" s="1" t="s">
        <v>149</v>
      </c>
      <c r="B11" s="17" t="n">
        <v>0</v>
      </c>
      <c r="C11" s="17" t="n">
        <v>1</v>
      </c>
      <c r="D11" s="17" t="n">
        <v>3</v>
      </c>
      <c r="E11" s="17" t="n">
        <v>80000</v>
      </c>
    </row>
    <row r="12" customFormat="false" ht="15" hidden="false" customHeight="true" outlineLevel="0" collapsed="false">
      <c r="A12" s="1" t="s">
        <v>173</v>
      </c>
      <c r="B12" s="17" t="n">
        <v>0.2</v>
      </c>
      <c r="C12" s="17" t="n">
        <v>0.4</v>
      </c>
      <c r="D12" s="17" t="n">
        <v>1</v>
      </c>
      <c r="E12" s="17" t="n">
        <v>120000</v>
      </c>
    </row>
    <row r="13" customFormat="false" ht="15" hidden="false" customHeight="true" outlineLevel="0" collapsed="false">
      <c r="A13" s="14" t="s">
        <v>174</v>
      </c>
      <c r="B13" s="15" t="n">
        <f aca="false">SUMPRODUCT(B4:B12,$E$4:$E$12)</f>
        <v>1089000</v>
      </c>
      <c r="C13" s="15" t="n">
        <f aca="false">SUMPRODUCT(C4:C12,$E$4:$E$12)</f>
        <v>2148000</v>
      </c>
      <c r="D13" s="15" t="n">
        <f aca="false">SUMPRODUCT(D4:D12,$E$4:$E$12)</f>
        <v>3420000</v>
      </c>
    </row>
    <row r="15" customFormat="false" ht="15" hidden="false" customHeight="true" outlineLevel="0" collapsed="false">
      <c r="A15" s="1" t="s">
        <v>175</v>
      </c>
      <c r="B15" s="1" t="n">
        <f aca="false">SUM(B4:B12)</f>
        <v>4.2</v>
      </c>
      <c r="C15" s="1" t="n">
        <f aca="false">SUM(C4:C12)</f>
        <v>9.9</v>
      </c>
      <c r="D15" s="1" t="n">
        <f aca="false">SUM(D4:D12)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</cols>
  <sheetData>
    <row r="1" customFormat="false" ht="15.75" hidden="false" customHeight="true" outlineLevel="0" collapsed="false">
      <c r="A1" s="2" t="s">
        <v>176</v>
      </c>
    </row>
    <row r="3" customFormat="false" ht="26.25" hidden="false" customHeight="true" outlineLevel="0" collapsed="false">
      <c r="A3" s="11" t="s">
        <v>177</v>
      </c>
      <c r="B3" s="11" t="s">
        <v>94</v>
      </c>
      <c r="C3" s="11" t="s">
        <v>178</v>
      </c>
      <c r="D3" s="11" t="s">
        <v>179</v>
      </c>
      <c r="E3" s="11" t="s">
        <v>4</v>
      </c>
    </row>
    <row r="4" customFormat="false" ht="15" hidden="false" customHeight="true" outlineLevel="0" collapsed="false">
      <c r="A4" s="1" t="s">
        <v>180</v>
      </c>
      <c r="B4" s="17" t="n">
        <v>4200</v>
      </c>
      <c r="C4" s="8" t="n">
        <v>0.4</v>
      </c>
      <c r="D4" s="12" t="n">
        <f aca="false">B4*C4</f>
        <v>1680</v>
      </c>
      <c r="E4" s="1" t="s">
        <v>181</v>
      </c>
    </row>
    <row r="5" customFormat="false" ht="15" hidden="false" customHeight="true" outlineLevel="0" collapsed="false">
      <c r="A5" s="1" t="s">
        <v>182</v>
      </c>
      <c r="B5" s="17" t="n">
        <v>4800</v>
      </c>
      <c r="C5" s="8" t="n">
        <v>0.15</v>
      </c>
      <c r="D5" s="12" t="n">
        <f aca="false">B5*C5</f>
        <v>720</v>
      </c>
      <c r="E5" s="1" t="s">
        <v>8</v>
      </c>
    </row>
    <row r="6" customFormat="false" ht="15" hidden="false" customHeight="true" outlineLevel="0" collapsed="false">
      <c r="A6" s="1" t="s">
        <v>183</v>
      </c>
      <c r="B6" s="17" t="n">
        <v>3000</v>
      </c>
      <c r="C6" s="8" t="n">
        <v>0.15</v>
      </c>
      <c r="D6" s="12" t="n">
        <f aca="false">B6*C6</f>
        <v>450</v>
      </c>
      <c r="E6" s="1" t="s">
        <v>8</v>
      </c>
    </row>
    <row r="7" customFormat="false" ht="15" hidden="false" customHeight="true" outlineLevel="0" collapsed="false">
      <c r="A7" s="1" t="s">
        <v>184</v>
      </c>
      <c r="B7" s="17" t="n">
        <v>1200</v>
      </c>
      <c r="C7" s="8" t="n">
        <v>0.12</v>
      </c>
      <c r="D7" s="12" t="n">
        <f aca="false">B7*C7</f>
        <v>144</v>
      </c>
      <c r="E7" s="1" t="s">
        <v>8</v>
      </c>
    </row>
    <row r="8" customFormat="false" ht="15" hidden="false" customHeight="true" outlineLevel="0" collapsed="false">
      <c r="A8" s="1" t="s">
        <v>185</v>
      </c>
      <c r="B8" s="17" t="n">
        <v>800</v>
      </c>
      <c r="C8" s="8" t="n">
        <v>0.1</v>
      </c>
      <c r="D8" s="12" t="n">
        <f aca="false">B8*C8</f>
        <v>80</v>
      </c>
      <c r="E8" s="1" t="s">
        <v>186</v>
      </c>
    </row>
    <row r="9" customFormat="false" ht="15" hidden="false" customHeight="true" outlineLevel="0" collapsed="false">
      <c r="A9" s="1" t="s">
        <v>187</v>
      </c>
      <c r="B9" s="17" t="n">
        <v>3400</v>
      </c>
      <c r="C9" s="8" t="n">
        <v>0.08</v>
      </c>
      <c r="D9" s="12" t="n">
        <f aca="false">B9*C9</f>
        <v>272</v>
      </c>
      <c r="E9" s="1" t="s">
        <v>8</v>
      </c>
    </row>
    <row r="10" customFormat="false" ht="15" hidden="false" customHeight="true" outlineLevel="0" collapsed="false">
      <c r="A10" s="14" t="s">
        <v>188</v>
      </c>
      <c r="D10" s="15" t="n">
        <f aca="false">SUM(D4:D9)</f>
        <v>3346</v>
      </c>
      <c r="E10" s="16" t="n">
        <f aca="false">Assumptions!$B$11</f>
        <v>3600</v>
      </c>
    </row>
    <row r="12" customFormat="false" ht="15" hidden="false" customHeight="true" outlineLevel="0" collapsed="false">
      <c r="A12" s="10" t="s">
        <v>189</v>
      </c>
    </row>
    <row r="13" customFormat="false" ht="15" hidden="false" customHeight="true" outlineLevel="0" collapsed="false">
      <c r="A13" s="1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4" min="2" style="1" width="12"/>
    <col collapsed="false" customWidth="true" hidden="false" outlineLevel="0" max="5" min="5" style="1" width="13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10" min="9" style="1" width="12"/>
  </cols>
  <sheetData>
    <row r="1" customFormat="false" ht="15.75" hidden="false" customHeight="true" outlineLevel="0" collapsed="false">
      <c r="A1" s="2" t="s">
        <v>191</v>
      </c>
    </row>
    <row r="3" customFormat="false" ht="39" hidden="false" customHeight="true" outlineLevel="0" collapsed="false">
      <c r="A3" s="11" t="s">
        <v>92</v>
      </c>
      <c r="B3" s="11" t="s">
        <v>192</v>
      </c>
      <c r="C3" s="11" t="s">
        <v>193</v>
      </c>
      <c r="D3" s="11" t="s">
        <v>194</v>
      </c>
      <c r="E3" s="11" t="s">
        <v>195</v>
      </c>
      <c r="F3" s="11" t="s">
        <v>196</v>
      </c>
      <c r="G3" s="11" t="s">
        <v>197</v>
      </c>
      <c r="H3" s="11" t="s">
        <v>139</v>
      </c>
      <c r="I3" s="11" t="s">
        <v>153</v>
      </c>
      <c r="J3" s="11" t="s">
        <v>198</v>
      </c>
    </row>
    <row r="4" customFormat="false" ht="15" hidden="false" customHeight="true" outlineLevel="0" collapsed="false">
      <c r="A4" s="1" t="n">
        <v>1</v>
      </c>
      <c r="B4" s="12" t="n">
        <f aca="false">IF(A4&lt;=6,Headcount!$B$13,IF(A4&lt;=18,Headcount!$C$13,Headcount!$D$13))</f>
        <v>1089000</v>
      </c>
      <c r="C4" s="12" t="n">
        <f aca="false">'Customer Growth'!B4</f>
        <v>300000</v>
      </c>
      <c r="D4" s="12" t="n">
        <f aca="false">IF(A4&lt;=6,120000,IF(A4&lt;=18,200000,320000))</f>
        <v>120000</v>
      </c>
      <c r="E4" s="12" t="n">
        <f aca="false">IF(A4&lt;=6,150000,IF(A4&lt;=18,250000,400000))</f>
        <v>150000</v>
      </c>
      <c r="F4" s="12" t="n">
        <f aca="false">0.05*(B4+D4+E4)</f>
        <v>67950</v>
      </c>
      <c r="G4" s="12" t="n">
        <f aca="false">SUM(B4:F4)</f>
        <v>1726950</v>
      </c>
      <c r="H4" s="16" t="n">
        <f aca="false">Revenue!G4</f>
        <v>40040</v>
      </c>
      <c r="I4" s="16" t="n">
        <f aca="false">'Cost of Revenue'!H4</f>
        <v>31656.8</v>
      </c>
      <c r="J4" s="12" t="n">
        <f aca="false">I4-G4</f>
        <v>-1695293.2</v>
      </c>
    </row>
    <row r="5" customFormat="false" ht="15" hidden="false" customHeight="true" outlineLevel="0" collapsed="false">
      <c r="A5" s="1" t="n">
        <v>2</v>
      </c>
      <c r="B5" s="12" t="n">
        <f aca="false">IF(A5&lt;=6,Headcount!$B$13,IF(A5&lt;=18,Headcount!$C$13,Headcount!$D$13))</f>
        <v>1089000</v>
      </c>
      <c r="C5" s="12" t="n">
        <f aca="false">'Customer Growth'!B5</f>
        <v>300000</v>
      </c>
      <c r="D5" s="12" t="n">
        <f aca="false">IF(A5&lt;=6,120000,IF(A5&lt;=18,200000,320000))</f>
        <v>120000</v>
      </c>
      <c r="E5" s="12" t="n">
        <f aca="false">IF(A5&lt;=6,150000,IF(A5&lt;=18,250000,400000))</f>
        <v>150000</v>
      </c>
      <c r="F5" s="12" t="n">
        <f aca="false">0.05*(B5+D5+E5)</f>
        <v>67950</v>
      </c>
      <c r="G5" s="12" t="n">
        <f aca="false">SUM(B5:F5)</f>
        <v>1726950</v>
      </c>
      <c r="H5" s="16" t="n">
        <f aca="false">Revenue!G5</f>
        <v>117717.6</v>
      </c>
      <c r="I5" s="16" t="n">
        <f aca="false">'Cost of Revenue'!H5</f>
        <v>93070.992</v>
      </c>
      <c r="J5" s="12" t="n">
        <f aca="false">I5-G5</f>
        <v>-1633879.008</v>
      </c>
    </row>
    <row r="6" customFormat="false" ht="15" hidden="false" customHeight="true" outlineLevel="0" collapsed="false">
      <c r="A6" s="1" t="n">
        <v>3</v>
      </c>
      <c r="B6" s="12" t="n">
        <f aca="false">IF(A6&lt;=6,Headcount!$B$13,IF(A6&lt;=18,Headcount!$C$13,Headcount!$D$13))</f>
        <v>1089000</v>
      </c>
      <c r="C6" s="12" t="n">
        <f aca="false">'Customer Growth'!B6</f>
        <v>300000</v>
      </c>
      <c r="D6" s="12" t="n">
        <f aca="false">IF(A6&lt;=6,120000,IF(A6&lt;=18,200000,320000))</f>
        <v>120000</v>
      </c>
      <c r="E6" s="12" t="n">
        <f aca="false">IF(A6&lt;=6,150000,IF(A6&lt;=18,250000,400000))</f>
        <v>150000</v>
      </c>
      <c r="F6" s="12" t="n">
        <f aca="false">0.05*(B6+D6+E6)</f>
        <v>67950</v>
      </c>
      <c r="G6" s="12" t="n">
        <f aca="false">SUM(B6:F6)</f>
        <v>1726950</v>
      </c>
      <c r="H6" s="16" t="n">
        <f aca="false">Revenue!G6</f>
        <v>190734.544</v>
      </c>
      <c r="I6" s="16" t="n">
        <f aca="false">'Cost of Revenue'!H6</f>
        <v>150800.33248</v>
      </c>
      <c r="J6" s="12" t="n">
        <f aca="false">I6-G6</f>
        <v>-1576149.66752</v>
      </c>
    </row>
    <row r="7" customFormat="false" ht="15" hidden="false" customHeight="true" outlineLevel="0" collapsed="false">
      <c r="A7" s="1" t="n">
        <v>4</v>
      </c>
      <c r="B7" s="12" t="n">
        <f aca="false">IF(A7&lt;=6,Headcount!$B$13,IF(A7&lt;=18,Headcount!$C$13,Headcount!$D$13))</f>
        <v>1089000</v>
      </c>
      <c r="C7" s="12" t="n">
        <f aca="false">'Customer Growth'!B7</f>
        <v>800000</v>
      </c>
      <c r="D7" s="12" t="n">
        <f aca="false">IF(A7&lt;=6,120000,IF(A7&lt;=18,200000,320000))</f>
        <v>120000</v>
      </c>
      <c r="E7" s="12" t="n">
        <f aca="false">IF(A7&lt;=6,150000,IF(A7&lt;=18,250000,400000))</f>
        <v>150000</v>
      </c>
      <c r="F7" s="12" t="n">
        <f aca="false">0.05*(B7+D7+E7)</f>
        <v>67950</v>
      </c>
      <c r="G7" s="12" t="n">
        <f aca="false">SUM(B7:F7)</f>
        <v>2226950</v>
      </c>
      <c r="H7" s="16" t="n">
        <f aca="false">Revenue!G7</f>
        <v>454803.804693333</v>
      </c>
      <c r="I7" s="16" t="n">
        <f aca="false">'Cost of Revenue'!H7</f>
        <v>359581.245864533</v>
      </c>
      <c r="J7" s="12" t="n">
        <f aca="false">I7-G7</f>
        <v>-1867368.75413547</v>
      </c>
    </row>
    <row r="8" customFormat="false" ht="15" hidden="false" customHeight="true" outlineLevel="0" collapsed="false">
      <c r="A8" s="1" t="n">
        <v>5</v>
      </c>
      <c r="B8" s="12" t="n">
        <f aca="false">IF(A8&lt;=6,Headcount!$B$13,IF(A8&lt;=18,Headcount!$C$13,Headcount!$D$13))</f>
        <v>1089000</v>
      </c>
      <c r="C8" s="12" t="n">
        <f aca="false">'Customer Growth'!B8</f>
        <v>800000</v>
      </c>
      <c r="D8" s="12" t="n">
        <f aca="false">IF(A8&lt;=6,120000,IF(A8&lt;=18,200000,320000))</f>
        <v>120000</v>
      </c>
      <c r="E8" s="12" t="n">
        <f aca="false">IF(A8&lt;=6,150000,IF(A8&lt;=18,250000,400000))</f>
        <v>150000</v>
      </c>
      <c r="F8" s="12" t="n">
        <f aca="false">0.05*(B8+D8+E8)</f>
        <v>67950</v>
      </c>
      <c r="G8" s="12" t="n">
        <f aca="false">SUM(B8:F8)</f>
        <v>2226950</v>
      </c>
      <c r="H8" s="16" t="n">
        <f aca="false">Revenue!G8</f>
        <v>769762.2430784</v>
      </c>
      <c r="I8" s="16" t="n">
        <f aca="false">'Cost of Revenue'!H8</f>
        <v>608596.637779328</v>
      </c>
      <c r="J8" s="12" t="n">
        <f aca="false">I8-G8</f>
        <v>-1618353.36222067</v>
      </c>
    </row>
    <row r="9" customFormat="false" ht="15" hidden="false" customHeight="true" outlineLevel="0" collapsed="false">
      <c r="A9" s="1" t="n">
        <v>6</v>
      </c>
      <c r="B9" s="12" t="n">
        <f aca="false">IF(A9&lt;=6,Headcount!$B$13,IF(A9&lt;=18,Headcount!$C$13,Headcount!$D$13))</f>
        <v>1089000</v>
      </c>
      <c r="C9" s="12" t="n">
        <f aca="false">'Customer Growth'!B9</f>
        <v>800000</v>
      </c>
      <c r="D9" s="12" t="n">
        <f aca="false">IF(A9&lt;=6,120000,IF(A9&lt;=18,200000,320000))</f>
        <v>120000</v>
      </c>
      <c r="E9" s="12" t="n">
        <f aca="false">IF(A9&lt;=6,150000,IF(A9&lt;=18,250000,400000))</f>
        <v>150000</v>
      </c>
      <c r="F9" s="12" t="n">
        <f aca="false">0.05*(B9+D9+E9)</f>
        <v>67950</v>
      </c>
      <c r="G9" s="12" t="n">
        <f aca="false">SUM(B9:F9)</f>
        <v>2226950</v>
      </c>
      <c r="H9" s="16" t="n">
        <f aca="false">Revenue!G9</f>
        <v>937123.175160363</v>
      </c>
      <c r="I9" s="16" t="n">
        <f aca="false">'Cost of Revenue'!H9</f>
        <v>740917.106179235</v>
      </c>
      <c r="J9" s="12" t="n">
        <f aca="false">I9-G9</f>
        <v>-1486032.89382077</v>
      </c>
    </row>
    <row r="10" customFormat="false" ht="15" hidden="false" customHeight="true" outlineLevel="0" collapsed="false">
      <c r="A10" s="1" t="n">
        <v>7</v>
      </c>
      <c r="B10" s="12" t="n">
        <f aca="false">IF(A10&lt;=6,Headcount!$B$13,IF(A10&lt;=18,Headcount!$C$13,Headcount!$D$13))</f>
        <v>2148000</v>
      </c>
      <c r="C10" s="12" t="n">
        <f aca="false">'Customer Growth'!B10</f>
        <v>1500000</v>
      </c>
      <c r="D10" s="12" t="n">
        <f aca="false">IF(A10&lt;=6,120000,IF(A10&lt;=18,200000,320000))</f>
        <v>200000</v>
      </c>
      <c r="E10" s="12" t="n">
        <f aca="false">IF(A10&lt;=6,150000,IF(A10&lt;=18,250000,400000))</f>
        <v>250000</v>
      </c>
      <c r="F10" s="12" t="n">
        <f aca="false">0.05*(B10+D10+E10)</f>
        <v>129900</v>
      </c>
      <c r="G10" s="12" t="n">
        <f aca="false">SUM(B10:F10)</f>
        <v>4227900</v>
      </c>
      <c r="H10" s="16" t="n">
        <f aca="false">Revenue!G10</f>
        <v>1187869.11798407</v>
      </c>
      <c r="I10" s="16" t="n">
        <f aca="false">'Cost of Revenue'!H10</f>
        <v>939164.213141814</v>
      </c>
      <c r="J10" s="12" t="n">
        <f aca="false">I10-G10</f>
        <v>-3288735.78685819</v>
      </c>
    </row>
    <row r="11" customFormat="false" ht="15" hidden="false" customHeight="true" outlineLevel="0" collapsed="false">
      <c r="A11" s="1" t="n">
        <v>8</v>
      </c>
      <c r="B11" s="12" t="n">
        <f aca="false">IF(A11&lt;=6,Headcount!$B$13,IF(A11&lt;=18,Headcount!$C$13,Headcount!$D$13))</f>
        <v>2148000</v>
      </c>
      <c r="C11" s="12" t="n">
        <f aca="false">'Customer Growth'!B11</f>
        <v>1500000</v>
      </c>
      <c r="D11" s="12" t="n">
        <f aca="false">IF(A11&lt;=6,120000,IF(A11&lt;=18,200000,320000))</f>
        <v>200000</v>
      </c>
      <c r="E11" s="12" t="n">
        <f aca="false">IF(A11&lt;=6,150000,IF(A11&lt;=18,250000,400000))</f>
        <v>250000</v>
      </c>
      <c r="F11" s="12" t="n">
        <f aca="false">0.05*(B11+D11+E11)</f>
        <v>129900</v>
      </c>
      <c r="G11" s="12" t="n">
        <f aca="false">SUM(B11:F11)</f>
        <v>4227900</v>
      </c>
      <c r="H11" s="16" t="n">
        <f aca="false">Revenue!G11</f>
        <v>1516996.97090503</v>
      </c>
      <c r="I11" s="16" t="n">
        <f aca="false">'Cost of Revenue'!H11</f>
        <v>1199382.36035331</v>
      </c>
      <c r="J11" s="12" t="n">
        <f aca="false">I11-G11</f>
        <v>-3028517.63964669</v>
      </c>
    </row>
    <row r="12" customFormat="false" ht="15" hidden="false" customHeight="true" outlineLevel="0" collapsed="false">
      <c r="A12" s="1" t="n">
        <v>9</v>
      </c>
      <c r="B12" s="12" t="n">
        <f aca="false">IF(A12&lt;=6,Headcount!$B$13,IF(A12&lt;=18,Headcount!$C$13,Headcount!$D$13))</f>
        <v>2148000</v>
      </c>
      <c r="C12" s="12" t="n">
        <f aca="false">'Customer Growth'!B12</f>
        <v>1500000</v>
      </c>
      <c r="D12" s="12" t="n">
        <f aca="false">IF(A12&lt;=6,120000,IF(A12&lt;=18,200000,320000))</f>
        <v>200000</v>
      </c>
      <c r="E12" s="12" t="n">
        <f aca="false">IF(A12&lt;=6,150000,IF(A12&lt;=18,250000,400000))</f>
        <v>250000</v>
      </c>
      <c r="F12" s="12" t="n">
        <f aca="false">0.05*(B12+D12+E12)</f>
        <v>129900</v>
      </c>
      <c r="G12" s="12" t="n">
        <f aca="false">SUM(B12:F12)</f>
        <v>4227900</v>
      </c>
      <c r="H12" s="16" t="n">
        <f aca="false">Revenue!G12</f>
        <v>1826377.15265073</v>
      </c>
      <c r="I12" s="16" t="n">
        <f aca="false">'Cost of Revenue'!H12</f>
        <v>1443987.41873211</v>
      </c>
      <c r="J12" s="12" t="n">
        <f aca="false">I12-G12</f>
        <v>-2783912.58126789</v>
      </c>
    </row>
    <row r="13" customFormat="false" ht="15" hidden="false" customHeight="true" outlineLevel="0" collapsed="false">
      <c r="A13" s="1" t="n">
        <v>10</v>
      </c>
      <c r="B13" s="12" t="n">
        <f aca="false">IF(A13&lt;=6,Headcount!$B$13,IF(A13&lt;=18,Headcount!$C$13,Headcount!$D$13))</f>
        <v>2148000</v>
      </c>
      <c r="C13" s="12" t="n">
        <f aca="false">'Customer Growth'!B13</f>
        <v>1500000</v>
      </c>
      <c r="D13" s="12" t="n">
        <f aca="false">IF(A13&lt;=6,120000,IF(A13&lt;=18,200000,320000))</f>
        <v>200000</v>
      </c>
      <c r="E13" s="12" t="n">
        <f aca="false">IF(A13&lt;=6,150000,IF(A13&lt;=18,250000,400000))</f>
        <v>250000</v>
      </c>
      <c r="F13" s="12" t="n">
        <f aca="false">0.05*(B13+D13+E13)</f>
        <v>129900</v>
      </c>
      <c r="G13" s="12" t="n">
        <f aca="false">SUM(B13:F13)</f>
        <v>4227900</v>
      </c>
      <c r="H13" s="16" t="n">
        <f aca="false">Revenue!G13</f>
        <v>2117194.52349168</v>
      </c>
      <c r="I13" s="16" t="n">
        <f aca="false">'Cost of Revenue'!H13</f>
        <v>1673916.17360818</v>
      </c>
      <c r="J13" s="12" t="n">
        <f aca="false">I13-G13</f>
        <v>-2553983.82639182</v>
      </c>
    </row>
    <row r="14" customFormat="false" ht="15" hidden="false" customHeight="true" outlineLevel="0" collapsed="false">
      <c r="A14" s="1" t="n">
        <v>11</v>
      </c>
      <c r="B14" s="12" t="n">
        <f aca="false">IF(A14&lt;=6,Headcount!$B$13,IF(A14&lt;=18,Headcount!$C$13,Headcount!$D$13))</f>
        <v>2148000</v>
      </c>
      <c r="C14" s="12" t="n">
        <f aca="false">'Customer Growth'!B14</f>
        <v>1500000</v>
      </c>
      <c r="D14" s="12" t="n">
        <f aca="false">IF(A14&lt;=6,120000,IF(A14&lt;=18,200000,320000))</f>
        <v>200000</v>
      </c>
      <c r="E14" s="12" t="n">
        <f aca="false">IF(A14&lt;=6,150000,IF(A14&lt;=18,250000,400000))</f>
        <v>250000</v>
      </c>
      <c r="F14" s="12" t="n">
        <f aca="false">0.05*(B14+D14+E14)</f>
        <v>129900</v>
      </c>
      <c r="G14" s="12" t="n">
        <f aca="false">SUM(B14:F14)</f>
        <v>4227900</v>
      </c>
      <c r="H14" s="16" t="n">
        <f aca="false">Revenue!G14</f>
        <v>2390562.85208218</v>
      </c>
      <c r="I14" s="16" t="n">
        <f aca="false">'Cost of Revenue'!H14</f>
        <v>1890049.20319169</v>
      </c>
      <c r="J14" s="12" t="n">
        <f aca="false">I14-G14</f>
        <v>-2337850.79680831</v>
      </c>
    </row>
    <row r="15" customFormat="false" ht="15" hidden="false" customHeight="true" outlineLevel="0" collapsed="false">
      <c r="A15" s="1" t="n">
        <v>12</v>
      </c>
      <c r="B15" s="12" t="n">
        <f aca="false">IF(A15&lt;=6,Headcount!$B$13,IF(A15&lt;=18,Headcount!$C$13,Headcount!$D$13))</f>
        <v>2148000</v>
      </c>
      <c r="C15" s="12" t="n">
        <f aca="false">'Customer Growth'!B15</f>
        <v>1500000</v>
      </c>
      <c r="D15" s="12" t="n">
        <f aca="false">IF(A15&lt;=6,120000,IF(A15&lt;=18,200000,320000))</f>
        <v>200000</v>
      </c>
      <c r="E15" s="12" t="n">
        <f aca="false">IF(A15&lt;=6,150000,IF(A15&lt;=18,250000,400000))</f>
        <v>250000</v>
      </c>
      <c r="F15" s="12" t="n">
        <f aca="false">0.05*(B15+D15+E15)</f>
        <v>129900</v>
      </c>
      <c r="G15" s="12" t="n">
        <f aca="false">SUM(B15:F15)</f>
        <v>4227900</v>
      </c>
      <c r="H15" s="16" t="n">
        <f aca="false">Revenue!G15</f>
        <v>2647529.08095725</v>
      </c>
      <c r="I15" s="16" t="n">
        <f aca="false">'Cost of Revenue'!H15</f>
        <v>2093214.25100019</v>
      </c>
      <c r="J15" s="12" t="n">
        <f aca="false">I15-G15</f>
        <v>-2134685.74899981</v>
      </c>
    </row>
    <row r="16" customFormat="false" ht="15" hidden="false" customHeight="true" outlineLevel="0" collapsed="false">
      <c r="A16" s="1" t="n">
        <v>13</v>
      </c>
      <c r="B16" s="12" t="n">
        <f aca="false">IF(A16&lt;=6,Headcount!$B$13,IF(A16&lt;=18,Headcount!$C$13,Headcount!$D$13))</f>
        <v>2148000</v>
      </c>
      <c r="C16" s="12" t="n">
        <f aca="false">'Customer Growth'!B16</f>
        <v>2500000</v>
      </c>
      <c r="D16" s="12" t="n">
        <f aca="false">IF(A16&lt;=6,120000,IF(A16&lt;=18,200000,320000))</f>
        <v>200000</v>
      </c>
      <c r="E16" s="12" t="n">
        <f aca="false">IF(A16&lt;=6,150000,IF(A16&lt;=18,250000,400000))</f>
        <v>250000</v>
      </c>
      <c r="F16" s="12" t="n">
        <f aca="false">0.05*(B16+D16+E16)</f>
        <v>129900</v>
      </c>
      <c r="G16" s="12" t="n">
        <f aca="false">SUM(B16:F16)</f>
        <v>5227900</v>
      </c>
      <c r="H16" s="16" t="n">
        <f aca="false">Revenue!G16</f>
        <v>3023237.01238919</v>
      </c>
      <c r="I16" s="16" t="n">
        <f aca="false">'Cost of Revenue'!H16</f>
        <v>2390259.97636868</v>
      </c>
      <c r="J16" s="12" t="n">
        <f aca="false">I16-G16</f>
        <v>-2837640.02363132</v>
      </c>
    </row>
    <row r="17" customFormat="false" ht="15" hidden="false" customHeight="true" outlineLevel="0" collapsed="false">
      <c r="A17" s="1" t="n">
        <v>14</v>
      </c>
      <c r="B17" s="12" t="n">
        <f aca="false">IF(A17&lt;=6,Headcount!$B$13,IF(A17&lt;=18,Headcount!$C$13,Headcount!$D$13))</f>
        <v>2148000</v>
      </c>
      <c r="C17" s="12" t="n">
        <f aca="false">'Customer Growth'!B17</f>
        <v>2500000</v>
      </c>
      <c r="D17" s="12" t="n">
        <f aca="false">IF(A17&lt;=6,120000,IF(A17&lt;=18,200000,320000))</f>
        <v>200000</v>
      </c>
      <c r="E17" s="12" t="n">
        <f aca="false">IF(A17&lt;=6,150000,IF(A17&lt;=18,250000,400000))</f>
        <v>250000</v>
      </c>
      <c r="F17" s="12" t="n">
        <f aca="false">0.05*(B17+D17+E17)</f>
        <v>129900</v>
      </c>
      <c r="G17" s="12" t="n">
        <f aca="false">SUM(B17:F17)</f>
        <v>5227900</v>
      </c>
      <c r="H17" s="16" t="n">
        <f aca="false">Revenue!G17</f>
        <v>3511506.35236886</v>
      </c>
      <c r="I17" s="16" t="n">
        <f aca="false">'Cost of Revenue'!H17</f>
        <v>2776300.05733443</v>
      </c>
      <c r="J17" s="12" t="n">
        <f aca="false">I17-G17</f>
        <v>-2451599.94266558</v>
      </c>
    </row>
    <row r="18" customFormat="false" ht="15" hidden="false" customHeight="true" outlineLevel="0" collapsed="false">
      <c r="A18" s="1" t="n">
        <v>15</v>
      </c>
      <c r="B18" s="12" t="n">
        <f aca="false">IF(A18&lt;=6,Headcount!$B$13,IF(A18&lt;=18,Headcount!$C$13,Headcount!$D$13))</f>
        <v>2148000</v>
      </c>
      <c r="C18" s="12" t="n">
        <f aca="false">'Customer Growth'!B18</f>
        <v>2500000</v>
      </c>
      <c r="D18" s="12" t="n">
        <f aca="false">IF(A18&lt;=6,120000,IF(A18&lt;=18,200000,320000))</f>
        <v>200000</v>
      </c>
      <c r="E18" s="12" t="n">
        <f aca="false">IF(A18&lt;=6,150000,IF(A18&lt;=18,250000,400000))</f>
        <v>250000</v>
      </c>
      <c r="F18" s="12" t="n">
        <f aca="false">0.05*(B18+D18+E18)</f>
        <v>129900</v>
      </c>
      <c r="G18" s="12" t="n">
        <f aca="false">SUM(B18:F18)</f>
        <v>5227900</v>
      </c>
      <c r="H18" s="16" t="n">
        <f aca="false">Revenue!G18</f>
        <v>3972597.95520512</v>
      </c>
      <c r="I18" s="16" t="n">
        <f aca="false">'Cost of Revenue'!H18</f>
        <v>3140852.62108735</v>
      </c>
      <c r="J18" s="12" t="n">
        <f aca="false">I18-G18</f>
        <v>-2087047.37891265</v>
      </c>
    </row>
    <row r="19" customFormat="false" ht="15" hidden="false" customHeight="true" outlineLevel="0" collapsed="false">
      <c r="A19" s="1" t="n">
        <v>16</v>
      </c>
      <c r="B19" s="12" t="n">
        <f aca="false">IF(A19&lt;=6,Headcount!$B$13,IF(A19&lt;=18,Headcount!$C$13,Headcount!$D$13))</f>
        <v>2148000</v>
      </c>
      <c r="C19" s="12" t="n">
        <f aca="false">'Customer Growth'!B19</f>
        <v>2500000</v>
      </c>
      <c r="D19" s="12" t="n">
        <f aca="false">IF(A19&lt;=6,120000,IF(A19&lt;=18,200000,320000))</f>
        <v>200000</v>
      </c>
      <c r="E19" s="12" t="n">
        <f aca="false">IF(A19&lt;=6,150000,IF(A19&lt;=18,250000,400000))</f>
        <v>250000</v>
      </c>
      <c r="F19" s="12" t="n">
        <f aca="false">0.05*(B19+D19+E19)</f>
        <v>129900</v>
      </c>
      <c r="G19" s="12" t="n">
        <f aca="false">SUM(B19:F19)</f>
        <v>5227900</v>
      </c>
      <c r="H19" s="16" t="n">
        <f aca="false">Revenue!G19</f>
        <v>4408583.46284386</v>
      </c>
      <c r="I19" s="16" t="n">
        <f aca="false">'Cost of Revenue'!H19</f>
        <v>3485555.56859529</v>
      </c>
      <c r="J19" s="12" t="n">
        <f aca="false">I19-G19</f>
        <v>-1742344.43140471</v>
      </c>
    </row>
    <row r="20" customFormat="false" ht="15" hidden="false" customHeight="true" outlineLevel="0" collapsed="false">
      <c r="A20" s="1" t="n">
        <v>17</v>
      </c>
      <c r="B20" s="12" t="n">
        <f aca="false">IF(A20&lt;=6,Headcount!$B$13,IF(A20&lt;=18,Headcount!$C$13,Headcount!$D$13))</f>
        <v>2148000</v>
      </c>
      <c r="C20" s="12" t="n">
        <f aca="false">'Customer Growth'!B20</f>
        <v>2500000</v>
      </c>
      <c r="D20" s="12" t="n">
        <f aca="false">IF(A20&lt;=6,120000,IF(A20&lt;=18,200000,320000))</f>
        <v>200000</v>
      </c>
      <c r="E20" s="12" t="n">
        <f aca="false">IF(A20&lt;=6,150000,IF(A20&lt;=18,250000,400000))</f>
        <v>250000</v>
      </c>
      <c r="F20" s="12" t="n">
        <f aca="false">0.05*(B20+D20+E20)</f>
        <v>129900</v>
      </c>
      <c r="G20" s="12" t="n">
        <f aca="false">SUM(B20:F20)</f>
        <v>5227900</v>
      </c>
      <c r="H20" s="16" t="n">
        <f aca="false">Revenue!G20</f>
        <v>4821374.09237877</v>
      </c>
      <c r="I20" s="16" t="n">
        <f aca="false">'Cost of Revenue'!H20</f>
        <v>3811919.96422618</v>
      </c>
      <c r="J20" s="12" t="n">
        <f aca="false">I20-G20</f>
        <v>-1415980.03577382</v>
      </c>
    </row>
    <row r="21" customFormat="false" ht="15" hidden="false" customHeight="true" outlineLevel="0" collapsed="false">
      <c r="A21" s="1" t="n">
        <v>18</v>
      </c>
      <c r="B21" s="12" t="n">
        <f aca="false">IF(A21&lt;=6,Headcount!$B$13,IF(A21&lt;=18,Headcount!$C$13,Headcount!$D$13))</f>
        <v>2148000</v>
      </c>
      <c r="C21" s="12" t="n">
        <f aca="false">'Customer Growth'!B21</f>
        <v>2500000</v>
      </c>
      <c r="D21" s="12" t="n">
        <f aca="false">IF(A21&lt;=6,120000,IF(A21&lt;=18,200000,320000))</f>
        <v>200000</v>
      </c>
      <c r="E21" s="12" t="n">
        <f aca="false">IF(A21&lt;=6,150000,IF(A21&lt;=18,250000,400000))</f>
        <v>250000</v>
      </c>
      <c r="F21" s="12" t="n">
        <f aca="false">0.05*(B21+D21+E21)</f>
        <v>129900</v>
      </c>
      <c r="G21" s="12" t="n">
        <f aca="false">SUM(B21:F21)</f>
        <v>5227900</v>
      </c>
      <c r="H21" s="16" t="n">
        <f aca="false">Revenue!G21</f>
        <v>5212733.9654</v>
      </c>
      <c r="I21" s="16" t="n">
        <f aca="false">'Cost of Revenue'!H21</f>
        <v>4121340.57432254</v>
      </c>
      <c r="J21" s="12" t="n">
        <f aca="false">I21-G21</f>
        <v>-1106559.42567746</v>
      </c>
    </row>
    <row r="22" customFormat="false" ht="15" hidden="false" customHeight="true" outlineLevel="0" collapsed="false">
      <c r="A22" s="1" t="n">
        <v>19</v>
      </c>
      <c r="B22" s="12" t="n">
        <f aca="false">IF(A22&lt;=6,Headcount!$B$13,IF(A22&lt;=18,Headcount!$C$13,Headcount!$D$13))</f>
        <v>3420000</v>
      </c>
      <c r="C22" s="12" t="n">
        <f aca="false">'Customer Growth'!B22</f>
        <v>2500000</v>
      </c>
      <c r="D22" s="12" t="n">
        <f aca="false">IF(A22&lt;=6,120000,IF(A22&lt;=18,200000,320000))</f>
        <v>320000</v>
      </c>
      <c r="E22" s="12" t="n">
        <f aca="false">IF(A22&lt;=6,150000,IF(A22&lt;=18,250000,400000))</f>
        <v>400000</v>
      </c>
      <c r="F22" s="12" t="n">
        <f aca="false">0.05*(B22+D22+E22)</f>
        <v>207000</v>
      </c>
      <c r="G22" s="12" t="n">
        <f aca="false">SUM(B22:F22)</f>
        <v>6847000</v>
      </c>
      <c r="H22" s="16" t="n">
        <f aca="false">Revenue!G22</f>
        <v>5584292.27968856</v>
      </c>
      <c r="I22" s="16" t="n">
        <f aca="false">'Cost of Revenue'!H22</f>
        <v>4415105.49050062</v>
      </c>
      <c r="J22" s="12" t="n">
        <f aca="false">I22-G22</f>
        <v>-2431894.50949938</v>
      </c>
    </row>
    <row r="23" customFormat="false" ht="15" hidden="false" customHeight="true" outlineLevel="0" collapsed="false">
      <c r="A23" s="1" t="n">
        <v>20</v>
      </c>
      <c r="B23" s="12" t="n">
        <f aca="false">IF(A23&lt;=6,Headcount!$B$13,IF(A23&lt;=18,Headcount!$C$13,Headcount!$D$13))</f>
        <v>3420000</v>
      </c>
      <c r="C23" s="12" t="n">
        <f aca="false">'Customer Growth'!B23</f>
        <v>2500000</v>
      </c>
      <c r="D23" s="12" t="n">
        <f aca="false">IF(A23&lt;=6,120000,IF(A23&lt;=18,200000,320000))</f>
        <v>320000</v>
      </c>
      <c r="E23" s="12" t="n">
        <f aca="false">IF(A23&lt;=6,150000,IF(A23&lt;=18,250000,400000))</f>
        <v>400000</v>
      </c>
      <c r="F23" s="12" t="n">
        <f aca="false">0.05*(B23+D23+E23)</f>
        <v>207000</v>
      </c>
      <c r="G23" s="12" t="n">
        <f aca="false">SUM(B23:F23)</f>
        <v>6847000</v>
      </c>
      <c r="H23" s="16" t="n">
        <f aca="false">Revenue!G23</f>
        <v>5937554.4283763</v>
      </c>
      <c r="I23" s="16" t="n">
        <f aca="false">'Cost of Revenue'!H23</f>
        <v>4694404.92078479</v>
      </c>
      <c r="J23" s="12" t="n">
        <f aca="false">I23-G23</f>
        <v>-2152595.07921521</v>
      </c>
    </row>
    <row r="24" customFormat="false" ht="15" hidden="false" customHeight="true" outlineLevel="0" collapsed="false">
      <c r="A24" s="1" t="n">
        <v>21</v>
      </c>
      <c r="B24" s="12" t="n">
        <f aca="false">IF(A24&lt;=6,Headcount!$B$13,IF(A24&lt;=18,Headcount!$C$13,Headcount!$D$13))</f>
        <v>3420000</v>
      </c>
      <c r="C24" s="12" t="n">
        <f aca="false">'Customer Growth'!B24</f>
        <v>2500000</v>
      </c>
      <c r="D24" s="12" t="n">
        <f aca="false">IF(A24&lt;=6,120000,IF(A24&lt;=18,200000,320000))</f>
        <v>320000</v>
      </c>
      <c r="E24" s="12" t="n">
        <f aca="false">IF(A24&lt;=6,150000,IF(A24&lt;=18,250000,400000))</f>
        <v>400000</v>
      </c>
      <c r="F24" s="12" t="n">
        <f aca="false">0.05*(B24+D24+E24)</f>
        <v>207000</v>
      </c>
      <c r="G24" s="12" t="n">
        <f aca="false">SUM(B24:F24)</f>
        <v>6847000</v>
      </c>
      <c r="H24" s="16" t="n">
        <f aca="false">Revenue!G24</f>
        <v>6273912.16177793</v>
      </c>
      <c r="I24" s="16" t="n">
        <f aca="false">'Cost of Revenue'!H24</f>
        <v>4960339.22385044</v>
      </c>
      <c r="J24" s="12" t="n">
        <f aca="false">I24-G24</f>
        <v>-1886660.77614956</v>
      </c>
    </row>
    <row r="25" customFormat="false" ht="15" hidden="false" customHeight="true" outlineLevel="0" collapsed="false">
      <c r="A25" s="1" t="n">
        <v>22</v>
      </c>
      <c r="B25" s="12" t="n">
        <f aca="false">IF(A25&lt;=6,Headcount!$B$13,IF(A25&lt;=18,Headcount!$C$13,Headcount!$D$13))</f>
        <v>3420000</v>
      </c>
      <c r="C25" s="12" t="n">
        <f aca="false">'Customer Growth'!B25</f>
        <v>2500000</v>
      </c>
      <c r="D25" s="12" t="n">
        <f aca="false">IF(A25&lt;=6,120000,IF(A25&lt;=18,200000,320000))</f>
        <v>320000</v>
      </c>
      <c r="E25" s="12" t="n">
        <f aca="false">IF(A25&lt;=6,150000,IF(A25&lt;=18,250000,400000))</f>
        <v>400000</v>
      </c>
      <c r="F25" s="12" t="n">
        <f aca="false">0.05*(B25+D25+E25)</f>
        <v>207000</v>
      </c>
      <c r="G25" s="12" t="n">
        <f aca="false">SUM(B25:F25)</f>
        <v>6847000</v>
      </c>
      <c r="H25" s="16" t="n">
        <f aca="false">Revenue!G25</f>
        <v>6594652.87815611</v>
      </c>
      <c r="I25" s="16" t="n">
        <f aca="false">'Cost of Revenue'!H25</f>
        <v>5213926.25457573</v>
      </c>
      <c r="J25" s="12" t="n">
        <f aca="false">I25-G25</f>
        <v>-1633073.74542427</v>
      </c>
    </row>
    <row r="26" customFormat="false" ht="15" hidden="false" customHeight="true" outlineLevel="0" collapsed="false">
      <c r="A26" s="1" t="n">
        <v>23</v>
      </c>
      <c r="B26" s="12" t="n">
        <f aca="false">IF(A26&lt;=6,Headcount!$B$13,IF(A26&lt;=18,Headcount!$C$13,Headcount!$D$13))</f>
        <v>3420000</v>
      </c>
      <c r="C26" s="12" t="n">
        <f aca="false">'Customer Growth'!B26</f>
        <v>2500000</v>
      </c>
      <c r="D26" s="12" t="n">
        <f aca="false">IF(A26&lt;=6,120000,IF(A26&lt;=18,200000,320000))</f>
        <v>320000</v>
      </c>
      <c r="E26" s="12" t="n">
        <f aca="false">IF(A26&lt;=6,150000,IF(A26&lt;=18,250000,400000))</f>
        <v>400000</v>
      </c>
      <c r="F26" s="12" t="n">
        <f aca="false">0.05*(B26+D26+E26)</f>
        <v>207000</v>
      </c>
      <c r="G26" s="12" t="n">
        <f aca="false">SUM(B26:F26)</f>
        <v>6847000</v>
      </c>
      <c r="H26" s="16" t="n">
        <f aca="false">Revenue!G26</f>
        <v>6900968.12160642</v>
      </c>
      <c r="I26" s="16" t="n">
        <f aca="false">'Cost of Revenue'!H26</f>
        <v>5456108.08271903</v>
      </c>
      <c r="J26" s="12" t="n">
        <f aca="false">I26-G26</f>
        <v>-1390891.91728097</v>
      </c>
    </row>
    <row r="27" customFormat="false" ht="15" hidden="false" customHeight="true" outlineLevel="0" collapsed="false">
      <c r="A27" s="1" t="n">
        <v>24</v>
      </c>
      <c r="B27" s="12" t="n">
        <f aca="false">IF(A27&lt;=6,Headcount!$B$13,IF(A27&lt;=18,Headcount!$C$13,Headcount!$D$13))</f>
        <v>3420000</v>
      </c>
      <c r="C27" s="12" t="n">
        <f aca="false">'Customer Growth'!B27</f>
        <v>2500000</v>
      </c>
      <c r="D27" s="12" t="n">
        <f aca="false">IF(A27&lt;=6,120000,IF(A27&lt;=18,200000,320000))</f>
        <v>320000</v>
      </c>
      <c r="E27" s="12" t="n">
        <f aca="false">IF(A27&lt;=6,150000,IF(A27&lt;=18,250000,400000))</f>
        <v>400000</v>
      </c>
      <c r="F27" s="12" t="n">
        <f aca="false">0.05*(B27+D27+E27)</f>
        <v>207000</v>
      </c>
      <c r="G27" s="12" t="n">
        <f aca="false">SUM(B27:F27)</f>
        <v>6847000</v>
      </c>
      <c r="H27" s="16" t="n">
        <f aca="false">Revenue!G27</f>
        <v>7193961.35795744</v>
      </c>
      <c r="I27" s="16" t="n">
        <f aca="false">'Cost of Revenue'!H27</f>
        <v>5687757.14077391</v>
      </c>
      <c r="J27" s="12" t="n">
        <f aca="false">I27-G27</f>
        <v>-1159242.85922609</v>
      </c>
    </row>
    <row r="28" customFormat="false" ht="15" hidden="false" customHeight="true" outlineLevel="0" collapsed="false">
      <c r="A28" s="1" t="n">
        <v>25</v>
      </c>
      <c r="B28" s="12" t="n">
        <f aca="false">IF(A28&lt;=6,Headcount!$B$13,IF(A28&lt;=18,Headcount!$C$13,Headcount!$D$13))</f>
        <v>3420000</v>
      </c>
      <c r="C28" s="12" t="n">
        <f aca="false">'Customer Growth'!B28</f>
        <v>3500000</v>
      </c>
      <c r="D28" s="12" t="n">
        <f aca="false">IF(A28&lt;=6,120000,IF(A28&lt;=18,200000,320000))</f>
        <v>320000</v>
      </c>
      <c r="E28" s="12" t="n">
        <f aca="false">IF(A28&lt;=6,150000,IF(A28&lt;=18,250000,400000))</f>
        <v>400000</v>
      </c>
      <c r="F28" s="12" t="n">
        <f aca="false">0.05*(B28+D28+E28)</f>
        <v>207000</v>
      </c>
      <c r="G28" s="12" t="n">
        <f aca="false">SUM(B28:F28)</f>
        <v>7847000</v>
      </c>
      <c r="H28" s="16" t="n">
        <f aca="false">Revenue!G28</f>
        <v>7608121.75966148</v>
      </c>
      <c r="I28" s="16" t="n">
        <f aca="false">'Cost of Revenue'!H28</f>
        <v>6015204.51851277</v>
      </c>
      <c r="J28" s="12" t="n">
        <f aca="false">I28-G28</f>
        <v>-1831795.48148723</v>
      </c>
    </row>
    <row r="29" customFormat="false" ht="15" hidden="false" customHeight="true" outlineLevel="0" collapsed="false">
      <c r="A29" s="1" t="n">
        <v>26</v>
      </c>
      <c r="B29" s="12" t="n">
        <f aca="false">IF(A29&lt;=6,Headcount!$B$13,IF(A29&lt;=18,Headcount!$C$13,Headcount!$D$13))</f>
        <v>3420000</v>
      </c>
      <c r="C29" s="12" t="n">
        <f aca="false">'Customer Growth'!B29</f>
        <v>3500000</v>
      </c>
      <c r="D29" s="12" t="n">
        <f aca="false">IF(A29&lt;=6,120000,IF(A29&lt;=18,200000,320000))</f>
        <v>320000</v>
      </c>
      <c r="E29" s="12" t="n">
        <f aca="false">IF(A29&lt;=6,150000,IF(A29&lt;=18,250000,400000))</f>
        <v>400000</v>
      </c>
      <c r="F29" s="12" t="n">
        <f aca="false">0.05*(B29+D29+E29)</f>
        <v>207000</v>
      </c>
      <c r="G29" s="12" t="n">
        <f aca="false">SUM(B29:F29)</f>
        <v>7847000</v>
      </c>
      <c r="H29" s="16" t="n">
        <f aca="false">Revenue!G29</f>
        <v>8137323.65803235</v>
      </c>
      <c r="I29" s="16" t="n">
        <f aca="false">'Cost of Revenue'!H29</f>
        <v>6433607.0823576</v>
      </c>
      <c r="J29" s="12" t="n">
        <f aca="false">I29-G29</f>
        <v>-1413392.9176424</v>
      </c>
    </row>
    <row r="30" customFormat="false" ht="15" hidden="false" customHeight="true" outlineLevel="0" collapsed="false">
      <c r="A30" s="1" t="n">
        <v>27</v>
      </c>
      <c r="B30" s="12" t="n">
        <f aca="false">IF(A30&lt;=6,Headcount!$B$13,IF(A30&lt;=18,Headcount!$C$13,Headcount!$D$13))</f>
        <v>3420000</v>
      </c>
      <c r="C30" s="12" t="n">
        <f aca="false">'Customer Growth'!B30</f>
        <v>3500000</v>
      </c>
      <c r="D30" s="12" t="n">
        <f aca="false">IF(A30&lt;=6,120000,IF(A30&lt;=18,200000,320000))</f>
        <v>320000</v>
      </c>
      <c r="E30" s="12" t="n">
        <f aca="false">IF(A30&lt;=6,150000,IF(A30&lt;=18,250000,400000))</f>
        <v>400000</v>
      </c>
      <c r="F30" s="12" t="n">
        <f aca="false">0.05*(B30+D30+E30)</f>
        <v>207000</v>
      </c>
      <c r="G30" s="12" t="n">
        <f aca="false">SUM(B30:F30)</f>
        <v>7847000</v>
      </c>
      <c r="H30" s="16" t="n">
        <f aca="false">Revenue!G30</f>
        <v>8642411.08680622</v>
      </c>
      <c r="I30" s="16" t="n">
        <f aca="false">'Cost of Revenue'!H30</f>
        <v>6832944.0382819</v>
      </c>
      <c r="J30" s="12" t="n">
        <f aca="false">I30-G30</f>
        <v>-1014055.9617181</v>
      </c>
    </row>
    <row r="31" customFormat="false" ht="15" hidden="false" customHeight="true" outlineLevel="0" collapsed="false">
      <c r="A31" s="1" t="n">
        <v>28</v>
      </c>
      <c r="B31" s="12" t="n">
        <f aca="false">IF(A31&lt;=6,Headcount!$B$13,IF(A31&lt;=18,Headcount!$C$13,Headcount!$D$13))</f>
        <v>3420000</v>
      </c>
      <c r="C31" s="12" t="n">
        <f aca="false">'Customer Growth'!B31</f>
        <v>3500000</v>
      </c>
      <c r="D31" s="12" t="n">
        <f aca="false">IF(A31&lt;=6,120000,IF(A31&lt;=18,200000,320000))</f>
        <v>320000</v>
      </c>
      <c r="E31" s="12" t="n">
        <f aca="false">IF(A31&lt;=6,150000,IF(A31&lt;=18,250000,400000))</f>
        <v>400000</v>
      </c>
      <c r="F31" s="12" t="n">
        <f aca="false">0.05*(B31+D31+E31)</f>
        <v>207000</v>
      </c>
      <c r="G31" s="12" t="n">
        <f aca="false">SUM(B31:F31)</f>
        <v>7847000</v>
      </c>
      <c r="H31" s="16" t="n">
        <f aca="false">Revenue!G31</f>
        <v>9125173.46097605</v>
      </c>
      <c r="I31" s="16" t="n">
        <f aca="false">'Cost of Revenue'!H31</f>
        <v>7214630.15033533</v>
      </c>
      <c r="J31" s="12" t="n">
        <f aca="false">I31-G31</f>
        <v>-632369.849664673</v>
      </c>
    </row>
    <row r="32" customFormat="false" ht="15" hidden="false" customHeight="true" outlineLevel="0" collapsed="false">
      <c r="A32" s="1" t="n">
        <v>29</v>
      </c>
      <c r="B32" s="12" t="n">
        <f aca="false">IF(A32&lt;=6,Headcount!$B$13,IF(A32&lt;=18,Headcount!$C$13,Headcount!$D$13))</f>
        <v>3420000</v>
      </c>
      <c r="C32" s="12" t="n">
        <f aca="false">'Customer Growth'!B32</f>
        <v>3500000</v>
      </c>
      <c r="D32" s="12" t="n">
        <f aca="false">IF(A32&lt;=6,120000,IF(A32&lt;=18,200000,320000))</f>
        <v>320000</v>
      </c>
      <c r="E32" s="12" t="n">
        <f aca="false">IF(A32&lt;=6,150000,IF(A32&lt;=18,250000,400000))</f>
        <v>400000</v>
      </c>
      <c r="F32" s="12" t="n">
        <f aca="false">0.05*(B32+D32+E32)</f>
        <v>207000</v>
      </c>
      <c r="G32" s="12" t="n">
        <f aca="false">SUM(B32:F32)</f>
        <v>7847000</v>
      </c>
      <c r="H32" s="16" t="n">
        <f aca="false">Revenue!G32</f>
        <v>9587271.40484196</v>
      </c>
      <c r="I32" s="16" t="n">
        <f aca="false">'Cost of Revenue'!H32</f>
        <v>7579978.35686316</v>
      </c>
      <c r="J32" s="12" t="n">
        <f aca="false">I32-G32</f>
        <v>-267021.643136838</v>
      </c>
    </row>
    <row r="33" customFormat="false" ht="15" hidden="false" customHeight="true" outlineLevel="0" collapsed="false">
      <c r="A33" s="1" t="n">
        <v>30</v>
      </c>
      <c r="B33" s="12" t="n">
        <f aca="false">IF(A33&lt;=6,Headcount!$B$13,IF(A33&lt;=18,Headcount!$C$13,Headcount!$D$13))</f>
        <v>3420000</v>
      </c>
      <c r="C33" s="12" t="n">
        <f aca="false">'Customer Growth'!B33</f>
        <v>3500000</v>
      </c>
      <c r="D33" s="12" t="n">
        <f aca="false">IF(A33&lt;=6,120000,IF(A33&lt;=18,200000,320000))</f>
        <v>320000</v>
      </c>
      <c r="E33" s="12" t="n">
        <f aca="false">IF(A33&lt;=6,150000,IF(A33&lt;=18,250000,400000))</f>
        <v>400000</v>
      </c>
      <c r="F33" s="12" t="n">
        <f aca="false">0.05*(B33+D33+E33)</f>
        <v>207000</v>
      </c>
      <c r="G33" s="12" t="n">
        <f aca="false">SUM(B33:F33)</f>
        <v>7847000</v>
      </c>
      <c r="H33" s="16" t="n">
        <f aca="false">Revenue!G33</f>
        <v>10030246.9326917</v>
      </c>
      <c r="I33" s="16" t="n">
        <f aca="false">'Cost of Revenue'!H33</f>
        <v>7930207.8196512</v>
      </c>
      <c r="J33" s="12" t="n">
        <f aca="false">I33-G33</f>
        <v>83207.8196512014</v>
      </c>
    </row>
    <row r="34" customFormat="false" ht="15" hidden="false" customHeight="true" outlineLevel="0" collapsed="false">
      <c r="A34" s="1" t="n">
        <v>31</v>
      </c>
      <c r="B34" s="12" t="n">
        <f aca="false">IF(A34&lt;=6,Headcount!$B$13,IF(A34&lt;=18,Headcount!$C$13,Headcount!$D$13))</f>
        <v>3420000</v>
      </c>
      <c r="C34" s="12" t="n">
        <f aca="false">'Customer Growth'!B34</f>
        <v>3500000</v>
      </c>
      <c r="D34" s="12" t="n">
        <f aca="false">IF(A34&lt;=6,120000,IF(A34&lt;=18,200000,320000))</f>
        <v>320000</v>
      </c>
      <c r="E34" s="12" t="n">
        <f aca="false">IF(A34&lt;=6,150000,IF(A34&lt;=18,250000,400000))</f>
        <v>400000</v>
      </c>
      <c r="F34" s="12" t="n">
        <f aca="false">0.05*(B34+D34+E34)</f>
        <v>207000</v>
      </c>
      <c r="G34" s="12" t="n">
        <f aca="false">SUM(B34:F34)</f>
        <v>7847000</v>
      </c>
      <c r="H34" s="16" t="n">
        <f aca="false">Revenue!G34</f>
        <v>10455532.790725</v>
      </c>
      <c r="I34" s="16" t="n">
        <f aca="false">'Cost of Revenue'!H34</f>
        <v>8266451.30992566</v>
      </c>
      <c r="J34" s="12" t="n">
        <f aca="false">I34-G34</f>
        <v>419451.309925657</v>
      </c>
    </row>
    <row r="35" customFormat="false" ht="15" hidden="false" customHeight="true" outlineLevel="0" collapsed="false">
      <c r="A35" s="1" t="n">
        <v>32</v>
      </c>
      <c r="B35" s="12" t="n">
        <f aca="false">IF(A35&lt;=6,Headcount!$B$13,IF(A35&lt;=18,Headcount!$C$13,Headcount!$D$13))</f>
        <v>3420000</v>
      </c>
      <c r="C35" s="12" t="n">
        <f aca="false">'Customer Growth'!B35</f>
        <v>3500000</v>
      </c>
      <c r="D35" s="12" t="n">
        <f aca="false">IF(A35&lt;=6,120000,IF(A35&lt;=18,200000,320000))</f>
        <v>320000</v>
      </c>
      <c r="E35" s="12" t="n">
        <f aca="false">IF(A35&lt;=6,150000,IF(A35&lt;=18,250000,400000))</f>
        <v>400000</v>
      </c>
      <c r="F35" s="12" t="n">
        <f aca="false">0.05*(B35+D35+E35)</f>
        <v>207000</v>
      </c>
      <c r="G35" s="12" t="n">
        <f aca="false">SUM(B35:F35)</f>
        <v>7847000</v>
      </c>
      <c r="H35" s="16" t="n">
        <f aca="false">Revenue!G35</f>
        <v>10864461.0329215</v>
      </c>
      <c r="I35" s="16" t="n">
        <f aca="false">'Cost of Revenue'!H35</f>
        <v>8589761.98868604</v>
      </c>
      <c r="J35" s="12" t="n">
        <f aca="false">I35-G35</f>
        <v>742761.988686038</v>
      </c>
    </row>
    <row r="36" customFormat="false" ht="15" hidden="false" customHeight="true" outlineLevel="0" collapsed="false">
      <c r="A36" s="1" t="n">
        <v>33</v>
      </c>
      <c r="B36" s="12" t="n">
        <f aca="false">IF(A36&lt;=6,Headcount!$B$13,IF(A36&lt;=18,Headcount!$C$13,Headcount!$D$13))</f>
        <v>3420000</v>
      </c>
      <c r="C36" s="12" t="n">
        <f aca="false">'Customer Growth'!B36</f>
        <v>3500000</v>
      </c>
      <c r="D36" s="12" t="n">
        <f aca="false">IF(A36&lt;=6,120000,IF(A36&lt;=18,200000,320000))</f>
        <v>320000</v>
      </c>
      <c r="E36" s="12" t="n">
        <f aca="false">IF(A36&lt;=6,150000,IF(A36&lt;=18,250000,400000))</f>
        <v>400000</v>
      </c>
      <c r="F36" s="12" t="n">
        <f aca="false">0.05*(B36+D36+E36)</f>
        <v>207000</v>
      </c>
      <c r="G36" s="12" t="n">
        <f aca="false">SUM(B36:F36)</f>
        <v>7847000</v>
      </c>
      <c r="H36" s="16" t="n">
        <f aca="false">Revenue!G36</f>
        <v>11255504.6479421</v>
      </c>
      <c r="I36" s="16" t="n">
        <f aca="false">'Cost of Revenue'!H36</f>
        <v>8898932.5559184</v>
      </c>
      <c r="J36" s="12" t="n">
        <f aca="false">I36-G36</f>
        <v>1051932.5559184</v>
      </c>
    </row>
    <row r="37" customFormat="false" ht="15" hidden="false" customHeight="true" outlineLevel="0" collapsed="false">
      <c r="A37" s="1" t="n">
        <v>34</v>
      </c>
      <c r="B37" s="12" t="n">
        <f aca="false">IF(A37&lt;=6,Headcount!$B$13,IF(A37&lt;=18,Headcount!$C$13,Headcount!$D$13))</f>
        <v>3420000</v>
      </c>
      <c r="C37" s="12" t="n">
        <f aca="false">'Customer Growth'!B37</f>
        <v>3500000</v>
      </c>
      <c r="D37" s="12" t="n">
        <f aca="false">IF(A37&lt;=6,120000,IF(A37&lt;=18,200000,320000))</f>
        <v>320000</v>
      </c>
      <c r="E37" s="12" t="n">
        <f aca="false">IF(A37&lt;=6,150000,IF(A37&lt;=18,250000,400000))</f>
        <v>400000</v>
      </c>
      <c r="F37" s="12" t="n">
        <f aca="false">0.05*(B37+D37+E37)</f>
        <v>207000</v>
      </c>
      <c r="G37" s="12" t="n">
        <f aca="false">SUM(B37:F37)</f>
        <v>7847000</v>
      </c>
      <c r="H37" s="16" t="n">
        <f aca="false">Revenue!G37</f>
        <v>11626996.0822116</v>
      </c>
      <c r="I37" s="16" t="n">
        <f aca="false">'Cost of Revenue'!H37</f>
        <v>9192644.59478915</v>
      </c>
      <c r="J37" s="12" t="n">
        <f aca="false">I37-G37</f>
        <v>1345644.59478915</v>
      </c>
    </row>
    <row r="38" customFormat="false" ht="15" hidden="false" customHeight="true" outlineLevel="0" collapsed="false">
      <c r="A38" s="1" t="n">
        <v>35</v>
      </c>
      <c r="B38" s="12" t="n">
        <f aca="false">IF(A38&lt;=6,Headcount!$B$13,IF(A38&lt;=18,Headcount!$C$13,Headcount!$D$13))</f>
        <v>3420000</v>
      </c>
      <c r="C38" s="12" t="n">
        <f aca="false">'Customer Growth'!B38</f>
        <v>3500000</v>
      </c>
      <c r="D38" s="12" t="n">
        <f aca="false">IF(A38&lt;=6,120000,IF(A38&lt;=18,200000,320000))</f>
        <v>320000</v>
      </c>
      <c r="E38" s="12" t="n">
        <f aca="false">IF(A38&lt;=6,150000,IF(A38&lt;=18,250000,400000))</f>
        <v>400000</v>
      </c>
      <c r="F38" s="12" t="n">
        <f aca="false">0.05*(B38+D38+E38)</f>
        <v>207000</v>
      </c>
      <c r="G38" s="12" t="n">
        <f aca="false">SUM(B38:F38)</f>
        <v>7847000</v>
      </c>
      <c r="H38" s="16" t="n">
        <f aca="false">Revenue!G38</f>
        <v>11979912.9447677</v>
      </c>
      <c r="I38" s="16" t="n">
        <f aca="false">'Cost of Revenue'!H38</f>
        <v>9471671.03171636</v>
      </c>
      <c r="J38" s="12" t="n">
        <f aca="false">I38-G38</f>
        <v>1624671.03171636</v>
      </c>
    </row>
    <row r="39" customFormat="false" ht="15" hidden="false" customHeight="true" outlineLevel="0" collapsed="false">
      <c r="A39" s="1" t="n">
        <v>36</v>
      </c>
      <c r="B39" s="12" t="n">
        <f aca="false">IF(A39&lt;=6,Headcount!$B$13,IF(A39&lt;=18,Headcount!$C$13,Headcount!$D$13))</f>
        <v>3420000</v>
      </c>
      <c r="C39" s="12" t="n">
        <f aca="false">'Customer Growth'!B39</f>
        <v>3500000</v>
      </c>
      <c r="D39" s="12" t="n">
        <f aca="false">IF(A39&lt;=6,120000,IF(A39&lt;=18,200000,320000))</f>
        <v>320000</v>
      </c>
      <c r="E39" s="12" t="n">
        <f aca="false">IF(A39&lt;=6,150000,IF(A39&lt;=18,250000,400000))</f>
        <v>400000</v>
      </c>
      <c r="F39" s="12" t="n">
        <f aca="false">0.05*(B39+D39+E39)</f>
        <v>207000</v>
      </c>
      <c r="G39" s="12" t="n">
        <f aca="false">SUM(B39:F39)</f>
        <v>7847000</v>
      </c>
      <c r="H39" s="16" t="n">
        <f aca="false">Revenue!G39</f>
        <v>12315183.964196</v>
      </c>
      <c r="I39" s="16" t="n">
        <f aca="false">'Cost of Revenue'!H39</f>
        <v>9736746.14679721</v>
      </c>
      <c r="J39" s="12" t="n">
        <f aca="false">I39-G39</f>
        <v>1889746.14679721</v>
      </c>
    </row>
    <row r="41" customFormat="false" ht="15" hidden="false" customHeight="true" outlineLevel="0" collapsed="false">
      <c r="A41" s="14" t="s">
        <v>199</v>
      </c>
      <c r="B41" s="15" t="n">
        <f aca="false">SUM(J4:J15)</f>
        <v>-26004763.2656696</v>
      </c>
      <c r="C41" s="15" t="n">
        <f aca="false">SUM(J16:J27)</f>
        <v>-22295530.124861</v>
      </c>
      <c r="D41" s="15" t="n">
        <f aca="false">SUM(J28:J39)</f>
        <v>1998779.59383478</v>
      </c>
    </row>
    <row r="42" customFormat="false" ht="15" hidden="false" customHeight="true" outlineLevel="0" collapsed="false">
      <c r="A42" s="1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0"/>
    <col collapsed="false" customWidth="true" hidden="false" outlineLevel="0" max="16" min="14" style="1" width="12"/>
  </cols>
  <sheetData>
    <row r="1" customFormat="false" ht="15.75" hidden="false" customHeight="true" outlineLevel="0" collapsed="false">
      <c r="A1" s="2" t="s">
        <v>201</v>
      </c>
    </row>
    <row r="3" customFormat="false" ht="15" hidden="false" customHeight="true" outlineLevel="0" collapsed="false">
      <c r="A3" s="11" t="s">
        <v>202</v>
      </c>
      <c r="B3" s="11" t="s">
        <v>203</v>
      </c>
      <c r="C3" s="11" t="s">
        <v>204</v>
      </c>
      <c r="D3" s="11" t="s">
        <v>205</v>
      </c>
      <c r="E3" s="11" t="s">
        <v>206</v>
      </c>
      <c r="F3" s="11" t="s">
        <v>207</v>
      </c>
      <c r="G3" s="11" t="s">
        <v>106</v>
      </c>
      <c r="H3" s="11" t="s">
        <v>208</v>
      </c>
      <c r="I3" s="11" t="s">
        <v>209</v>
      </c>
      <c r="J3" s="11" t="s">
        <v>210</v>
      </c>
      <c r="K3" s="11" t="s">
        <v>211</v>
      </c>
      <c r="L3" s="11" t="s">
        <v>212</v>
      </c>
      <c r="M3" s="11" t="s">
        <v>107</v>
      </c>
      <c r="N3" s="11" t="s">
        <v>213</v>
      </c>
      <c r="O3" s="11" t="s">
        <v>214</v>
      </c>
      <c r="P3" s="11" t="s">
        <v>215</v>
      </c>
    </row>
    <row r="4" customFormat="false" ht="15" hidden="false" customHeight="true" outlineLevel="0" collapsed="false">
      <c r="A4" s="19" t="s">
        <v>216</v>
      </c>
      <c r="B4" s="12" t="n">
        <f aca="false">Revenue!C4</f>
        <v>38033.3333333333</v>
      </c>
      <c r="C4" s="12" t="n">
        <f aca="false">Revenue!C5</f>
        <v>111818</v>
      </c>
      <c r="D4" s="12" t="n">
        <f aca="false">Revenue!C6</f>
        <v>181175.586666667</v>
      </c>
      <c r="E4" s="12" t="n">
        <f aca="false">Revenue!C7</f>
        <v>432010.607022222</v>
      </c>
      <c r="F4" s="12" t="n">
        <f aca="false">Revenue!C8</f>
        <v>731184.415045333</v>
      </c>
      <c r="G4" s="12" t="n">
        <f aca="false">Revenue!C9</f>
        <v>890157.794587058</v>
      </c>
      <c r="H4" s="12" t="n">
        <f aca="false">Revenue!C10</f>
        <v>1128337.21580072</v>
      </c>
      <c r="I4" s="12" t="n">
        <f aca="false">Revenue!C11</f>
        <v>1440970.31618601</v>
      </c>
      <c r="J4" s="12" t="n">
        <f aca="false">Revenue!C12</f>
        <v>1734845.43054819</v>
      </c>
      <c r="K4" s="12" t="n">
        <f aca="false">Revenue!C13</f>
        <v>2011088.03804863</v>
      </c>
      <c r="L4" s="12" t="n">
        <f aca="false">Revenue!C14</f>
        <v>2270756.08909904</v>
      </c>
      <c r="M4" s="12" t="n">
        <f aca="false">Revenue!C15</f>
        <v>2514844.05708643</v>
      </c>
      <c r="N4" s="12" t="n">
        <f aca="false">SUM(Revenue!C4:C15)</f>
        <v>13485220.8834236</v>
      </c>
      <c r="O4" s="12" t="n">
        <f aca="false">SUM(Revenue!C16:C27)</f>
        <v>60256211.9645001</v>
      </c>
      <c r="P4" s="12" t="n">
        <f aca="false">SUM(Revenue!C28:C39)</f>
        <v>115532557.00362</v>
      </c>
    </row>
    <row r="5" customFormat="false" ht="15" hidden="false" customHeight="true" outlineLevel="0" collapsed="false">
      <c r="A5" s="19" t="s">
        <v>217</v>
      </c>
      <c r="B5" s="12" t="n">
        <f aca="false">Revenue!D4</f>
        <v>3033.33333333333</v>
      </c>
      <c r="C5" s="12" t="n">
        <f aca="false">Revenue!D5</f>
        <v>8918</v>
      </c>
      <c r="D5" s="12" t="n">
        <f aca="false">Revenue!D6</f>
        <v>14449.5866666667</v>
      </c>
      <c r="E5" s="12" t="n">
        <f aca="false">Revenue!D7</f>
        <v>34454.8336888889</v>
      </c>
      <c r="F5" s="12" t="n">
        <f aca="false">Revenue!D8</f>
        <v>58315.3214453333</v>
      </c>
      <c r="G5" s="12" t="n">
        <f aca="false">Revenue!D9</f>
        <v>70994.1799363911</v>
      </c>
      <c r="H5" s="12" t="n">
        <f aca="false">Revenue!D10</f>
        <v>89990.0846957632</v>
      </c>
      <c r="I5" s="12" t="n">
        <f aca="false">Revenue!D11</f>
        <v>114924.012947351</v>
      </c>
      <c r="J5" s="12" t="n">
        <f aca="false">Revenue!D12</f>
        <v>138361.905503843</v>
      </c>
      <c r="K5" s="12" t="n">
        <f aca="false">Revenue!D13</f>
        <v>160393.524506946</v>
      </c>
      <c r="L5" s="12" t="n">
        <f aca="false">Revenue!D14</f>
        <v>181103.246369862</v>
      </c>
      <c r="M5" s="12" t="n">
        <f aca="false">Revenue!D15</f>
        <v>200570.384921004</v>
      </c>
      <c r="N5" s="12" t="n">
        <f aca="false">SUM(Revenue!D4:D15)</f>
        <v>1075508.41401538</v>
      </c>
      <c r="O5" s="12" t="n">
        <f aca="false">SUM(Revenue!D16:D27)</f>
        <v>4805710.15667792</v>
      </c>
      <c r="P5" s="12" t="n">
        <f aca="false">SUM(Revenue!D28:D39)</f>
        <v>9214253.01255861</v>
      </c>
    </row>
    <row r="6" customFormat="false" ht="15" hidden="false" customHeight="true" outlineLevel="0" collapsed="false">
      <c r="A6" s="19" t="s">
        <v>138</v>
      </c>
      <c r="B6" s="12" t="n">
        <f aca="false">-Revenue!F4</f>
        <v>-1026.66666666667</v>
      </c>
      <c r="C6" s="12" t="n">
        <f aca="false">-Revenue!F5</f>
        <v>-3018.4</v>
      </c>
      <c r="D6" s="12" t="n">
        <f aca="false">-Revenue!F6</f>
        <v>-4890.62933333333</v>
      </c>
      <c r="E6" s="12" t="n">
        <f aca="false">-Revenue!F7</f>
        <v>-11661.6360177778</v>
      </c>
      <c r="F6" s="12" t="n">
        <f aca="false">-Revenue!F8</f>
        <v>-19737.4934122667</v>
      </c>
      <c r="G6" s="12" t="n">
        <f aca="false">-Revenue!F9</f>
        <v>-24028.7993630862</v>
      </c>
      <c r="H6" s="12" t="n">
        <f aca="false">-Revenue!F10</f>
        <v>-30458.1825124122</v>
      </c>
      <c r="I6" s="12" t="n">
        <f aca="false">-Revenue!F11</f>
        <v>-38897.3582283341</v>
      </c>
      <c r="J6" s="12" t="n">
        <f aca="false">-Revenue!F12</f>
        <v>-46830.1834013007</v>
      </c>
      <c r="K6" s="12" t="n">
        <f aca="false">-Revenue!F13</f>
        <v>-54287.0390638893</v>
      </c>
      <c r="L6" s="12" t="n">
        <f aca="false">-Revenue!F14</f>
        <v>-61296.4833867227</v>
      </c>
      <c r="M6" s="12" t="n">
        <f aca="false">-Revenue!F15</f>
        <v>-67885.361050186</v>
      </c>
      <c r="N6" s="12" t="n">
        <f aca="false">-SUM(Revenue!F4:F15)</f>
        <v>-364018.232435976</v>
      </c>
      <c r="O6" s="12" t="n">
        <f aca="false">-SUM(Revenue!F16:F27)</f>
        <v>-1626548.05302945</v>
      </c>
      <c r="P6" s="12" t="n">
        <f aca="false">-SUM(Revenue!F28:F39)</f>
        <v>-3118670.25040445</v>
      </c>
    </row>
    <row r="7" customFormat="false" ht="15" hidden="false" customHeight="true" outlineLevel="0" collapsed="false">
      <c r="A7" s="14" t="s">
        <v>139</v>
      </c>
      <c r="B7" s="12" t="n">
        <f aca="false">Revenue!G4</f>
        <v>40040</v>
      </c>
      <c r="C7" s="12" t="n">
        <f aca="false">Revenue!G5</f>
        <v>117717.6</v>
      </c>
      <c r="D7" s="12" t="n">
        <f aca="false">Revenue!G6</f>
        <v>190734.544</v>
      </c>
      <c r="E7" s="12" t="n">
        <f aca="false">Revenue!G7</f>
        <v>454803.804693333</v>
      </c>
      <c r="F7" s="12" t="n">
        <f aca="false">Revenue!G8</f>
        <v>769762.2430784</v>
      </c>
      <c r="G7" s="12" t="n">
        <f aca="false">Revenue!G9</f>
        <v>937123.175160363</v>
      </c>
      <c r="H7" s="12" t="n">
        <f aca="false">Revenue!G10</f>
        <v>1187869.11798407</v>
      </c>
      <c r="I7" s="12" t="n">
        <f aca="false">Revenue!G11</f>
        <v>1516996.97090503</v>
      </c>
      <c r="J7" s="12" t="n">
        <f aca="false">Revenue!G12</f>
        <v>1826377.15265073</v>
      </c>
      <c r="K7" s="12" t="n">
        <f aca="false">Revenue!G13</f>
        <v>2117194.52349168</v>
      </c>
      <c r="L7" s="12" t="n">
        <f aca="false">Revenue!G14</f>
        <v>2390562.85208218</v>
      </c>
      <c r="M7" s="12" t="n">
        <f aca="false">Revenue!G15</f>
        <v>2647529.08095725</v>
      </c>
      <c r="N7" s="12" t="n">
        <f aca="false">SUM(Revenue!G4:G15)</f>
        <v>14196711.065003</v>
      </c>
      <c r="O7" s="12" t="n">
        <f aca="false">SUM(Revenue!G16:G27)</f>
        <v>63435374.0681486</v>
      </c>
      <c r="P7" s="12" t="n">
        <f aca="false">SUM(Revenue!G28:G39)</f>
        <v>121628139.765774</v>
      </c>
    </row>
    <row r="8" customFormat="false" ht="15" hidden="false" customHeight="true" outlineLevel="0" collapsed="false">
      <c r="A8" s="19" t="s">
        <v>218</v>
      </c>
      <c r="B8" s="12" t="n">
        <f aca="false">-('Cost of Revenue'!B4+'Cost of Revenue'!E4)</f>
        <v>-3966.66666666667</v>
      </c>
      <c r="C8" s="12" t="n">
        <f aca="false">-('Cost of Revenue'!B5+'Cost of Revenue'!E5)</f>
        <v>-11662</v>
      </c>
      <c r="D8" s="12" t="n">
        <f aca="false">-('Cost of Revenue'!B6+'Cost of Revenue'!E6)</f>
        <v>-18895.6133333333</v>
      </c>
      <c r="E8" s="12" t="n">
        <f aca="false">-('Cost of Revenue'!B7+'Cost of Revenue'!E7)</f>
        <v>-45056.3209777778</v>
      </c>
      <c r="F8" s="12" t="n">
        <f aca="false">-('Cost of Revenue'!B8+'Cost of Revenue'!E8)</f>
        <v>-76258.4972746667</v>
      </c>
      <c r="G8" s="12" t="n">
        <f aca="false">-('Cost of Revenue'!B9+'Cost of Revenue'!E9)</f>
        <v>-92838.5429937422</v>
      </c>
      <c r="H8" s="12" t="n">
        <f aca="false">-('Cost of Revenue'!B10+'Cost of Revenue'!E10)</f>
        <v>-117679.341525229</v>
      </c>
      <c r="I8" s="12" t="n">
        <f aca="false">-('Cost of Revenue'!B11+'Cost of Revenue'!E11)</f>
        <v>-150285.247700382</v>
      </c>
      <c r="J8" s="12" t="n">
        <f aca="false">-('Cost of Revenue'!B12+'Cost of Revenue'!E12)</f>
        <v>-180934.799505026</v>
      </c>
      <c r="K8" s="12" t="n">
        <f aca="false">-('Cost of Revenue'!B13+'Cost of Revenue'!E13)</f>
        <v>-209745.378201391</v>
      </c>
      <c r="L8" s="12" t="n">
        <f aca="false">-('Cost of Revenue'!B14+'Cost of Revenue'!E14)</f>
        <v>-236827.322175974</v>
      </c>
      <c r="M8" s="12" t="n">
        <f aca="false">-('Cost of Revenue'!B15+'Cost of Revenue'!E15)</f>
        <v>-262284.349512082</v>
      </c>
      <c r="N8" s="12" t="n">
        <f aca="false">-SUM('Cost of Revenue'!B4:B15)-SUM('Cost of Revenue'!E4:E15)</f>
        <v>-1406434.07986627</v>
      </c>
      <c r="O8" s="12" t="n">
        <f aca="false">-SUM('Cost of Revenue'!B16:B27)-SUM('Cost of Revenue'!E16:E27)</f>
        <v>-6284390.20488651</v>
      </c>
      <c r="P8" s="12" t="n">
        <f aca="false">-SUM('Cost of Revenue'!B28:B39)-SUM('Cost of Revenue'!E28:E39)</f>
        <v>-12049407.7856536</v>
      </c>
    </row>
    <row r="9" customFormat="false" ht="15" hidden="false" customHeight="true" outlineLevel="0" collapsed="false">
      <c r="A9" s="19" t="s">
        <v>219</v>
      </c>
      <c r="B9" s="12" t="n">
        <f aca="false">-'Cost of Revenue'!C4</f>
        <v>-2100</v>
      </c>
      <c r="C9" s="12" t="n">
        <f aca="false">-'Cost of Revenue'!C5</f>
        <v>-6174</v>
      </c>
      <c r="D9" s="12" t="n">
        <f aca="false">-'Cost of Revenue'!C6</f>
        <v>-10003.56</v>
      </c>
      <c r="E9" s="12" t="n">
        <f aca="false">-'Cost of Revenue'!C7</f>
        <v>-23853.3464</v>
      </c>
      <c r="F9" s="12" t="n">
        <f aca="false">-'Cost of Revenue'!C8</f>
        <v>-40372.145616</v>
      </c>
      <c r="G9" s="12" t="n">
        <f aca="false">-'Cost of Revenue'!C9</f>
        <v>-49149.81687904</v>
      </c>
      <c r="H9" s="12" t="n">
        <f aca="false">-'Cost of Revenue'!C10</f>
        <v>-62300.8278662976</v>
      </c>
      <c r="I9" s="12" t="n">
        <f aca="false">-'Cost of Revenue'!C11</f>
        <v>-79562.7781943198</v>
      </c>
      <c r="J9" s="12" t="n">
        <f aca="false">-'Cost of Revenue'!C12</f>
        <v>-95789.0115026606</v>
      </c>
      <c r="K9" s="12" t="n">
        <f aca="false">-'Cost of Revenue'!C13</f>
        <v>-111041.670812501</v>
      </c>
      <c r="L9" s="12" t="n">
        <f aca="false">-'Cost of Revenue'!C14</f>
        <v>-125379.170563751</v>
      </c>
      <c r="M9" s="12" t="n">
        <f aca="false">-'Cost of Revenue'!C15</f>
        <v>-138856.420329926</v>
      </c>
      <c r="N9" s="12" t="n">
        <f aca="false">-SUM('Cost of Revenue'!C4:C15)</f>
        <v>-744582.748164496</v>
      </c>
      <c r="O9" s="12" t="n">
        <f aca="false">-SUM('Cost of Revenue'!C16:C27)</f>
        <v>-3327030.10846933</v>
      </c>
      <c r="P9" s="12" t="n">
        <f aca="false">-SUM('Cost of Revenue'!C28:C39)</f>
        <v>-6379098.23946366</v>
      </c>
    </row>
    <row r="10" customFormat="false" ht="15" hidden="false" customHeight="true" outlineLevel="0" collapsed="false">
      <c r="A10" s="19" t="s">
        <v>220</v>
      </c>
      <c r="B10" s="12" t="n">
        <f aca="false">-'Cost of Revenue'!D4</f>
        <v>-1166.66666666667</v>
      </c>
      <c r="C10" s="12" t="n">
        <f aca="false">-'Cost of Revenue'!D5</f>
        <v>-3430</v>
      </c>
      <c r="D10" s="12" t="n">
        <f aca="false">-'Cost of Revenue'!D6</f>
        <v>-5557.53333333333</v>
      </c>
      <c r="E10" s="12" t="n">
        <f aca="false">-'Cost of Revenue'!D7</f>
        <v>-13251.8591111111</v>
      </c>
      <c r="F10" s="12" t="n">
        <f aca="false">-'Cost of Revenue'!D8</f>
        <v>-22428.9697866667</v>
      </c>
      <c r="G10" s="12" t="n">
        <f aca="false">-'Cost of Revenue'!D9</f>
        <v>-27305.4538216889</v>
      </c>
      <c r="H10" s="12" t="n">
        <f aca="false">-'Cost of Revenue'!D10</f>
        <v>-34611.571036832</v>
      </c>
      <c r="I10" s="12" t="n">
        <f aca="false">-'Cost of Revenue'!D11</f>
        <v>-44201.5434412888</v>
      </c>
      <c r="J10" s="12" t="n">
        <f aca="false">-'Cost of Revenue'!D12</f>
        <v>-53216.1175014781</v>
      </c>
      <c r="K10" s="12" t="n">
        <f aca="false">-'Cost of Revenue'!D13</f>
        <v>-61689.8171180561</v>
      </c>
      <c r="L10" s="12" t="n">
        <f aca="false">-'Cost of Revenue'!D14</f>
        <v>-69655.0947576394</v>
      </c>
      <c r="M10" s="12" t="n">
        <f aca="false">-'Cost of Revenue'!D15</f>
        <v>-77142.4557388477</v>
      </c>
      <c r="N10" s="12" t="n">
        <f aca="false">-SUM('Cost of Revenue'!D4:D15)</f>
        <v>-413657.082313609</v>
      </c>
      <c r="O10" s="12" t="n">
        <f aca="false">-SUM('Cost of Revenue'!D16:D27)</f>
        <v>-1848350.06026074</v>
      </c>
      <c r="P10" s="12" t="n">
        <f aca="false">-SUM('Cost of Revenue'!D28:D39)</f>
        <v>-3543943.4663687</v>
      </c>
    </row>
    <row r="11" customFormat="false" ht="15" hidden="false" customHeight="true" outlineLevel="0" collapsed="false">
      <c r="A11" s="19" t="s">
        <v>151</v>
      </c>
      <c r="B11" s="12" t="n">
        <f aca="false">-'Cost of Revenue'!F4</f>
        <v>-1149.86666666667</v>
      </c>
      <c r="C11" s="12" t="n">
        <f aca="false">-'Cost of Revenue'!F5</f>
        <v>-3380.608</v>
      </c>
      <c r="D11" s="12" t="n">
        <f aca="false">-'Cost of Revenue'!F6</f>
        <v>-5477.50485333333</v>
      </c>
      <c r="E11" s="12" t="n">
        <f aca="false">-'Cost of Revenue'!F7</f>
        <v>-13061.0323399111</v>
      </c>
      <c r="F11" s="12" t="n">
        <f aca="false">-'Cost of Revenue'!F8</f>
        <v>-22105.9926217387</v>
      </c>
      <c r="G11" s="12" t="n">
        <f aca="false">-'Cost of Revenue'!F9</f>
        <v>-26912.2552866566</v>
      </c>
      <c r="H11" s="12" t="n">
        <f aca="false">-'Cost of Revenue'!F10</f>
        <v>-34113.1644139016</v>
      </c>
      <c r="I11" s="12" t="n">
        <f aca="false">-'Cost of Revenue'!F11</f>
        <v>-43565.0412157342</v>
      </c>
      <c r="J11" s="12" t="n">
        <f aca="false">-'Cost of Revenue'!F12</f>
        <v>-52449.8054094568</v>
      </c>
      <c r="K11" s="12" t="n">
        <f aca="false">-'Cost of Revenue'!F13</f>
        <v>-60801.4837515561</v>
      </c>
      <c r="L11" s="12" t="n">
        <f aca="false">-'Cost of Revenue'!F14</f>
        <v>-68652.0613931294</v>
      </c>
      <c r="M11" s="12" t="n">
        <f aca="false">-'Cost of Revenue'!F15</f>
        <v>-76031.6043762083</v>
      </c>
      <c r="N11" s="12" t="n">
        <f aca="false">-SUM('Cost of Revenue'!F4:F15)</f>
        <v>-407700.420328293</v>
      </c>
      <c r="O11" s="12" t="n">
        <f aca="false">-SUM('Cost of Revenue'!F16:F27)</f>
        <v>-1821733.81939298</v>
      </c>
      <c r="P11" s="12" t="n">
        <f aca="false">-SUM('Cost of Revenue'!F28:F39)</f>
        <v>-3492910.68045299</v>
      </c>
    </row>
    <row r="12" customFormat="false" ht="15" hidden="false" customHeight="true" outlineLevel="0" collapsed="false">
      <c r="A12" s="14" t="s">
        <v>153</v>
      </c>
      <c r="B12" s="12" t="n">
        <f aca="false">'Cost of Revenue'!H4</f>
        <v>31656.8</v>
      </c>
      <c r="C12" s="12" t="n">
        <f aca="false">'Cost of Revenue'!H5</f>
        <v>93070.992</v>
      </c>
      <c r="D12" s="12" t="n">
        <f aca="false">'Cost of Revenue'!H6</f>
        <v>150800.33248</v>
      </c>
      <c r="E12" s="12" t="n">
        <f aca="false">'Cost of Revenue'!H7</f>
        <v>359581.245864533</v>
      </c>
      <c r="F12" s="12" t="n">
        <f aca="false">'Cost of Revenue'!H8</f>
        <v>608596.637779328</v>
      </c>
      <c r="G12" s="12" t="n">
        <f aca="false">'Cost of Revenue'!H9</f>
        <v>740917.106179235</v>
      </c>
      <c r="H12" s="12" t="n">
        <f aca="false">'Cost of Revenue'!H10</f>
        <v>939164.213141814</v>
      </c>
      <c r="I12" s="12" t="n">
        <f aca="false">'Cost of Revenue'!H11</f>
        <v>1199382.36035331</v>
      </c>
      <c r="J12" s="12" t="n">
        <f aca="false">'Cost of Revenue'!H12</f>
        <v>1443987.41873211</v>
      </c>
      <c r="K12" s="12" t="n">
        <f aca="false">'Cost of Revenue'!H13</f>
        <v>1673916.17360818</v>
      </c>
      <c r="L12" s="12" t="n">
        <f aca="false">'Cost of Revenue'!H14</f>
        <v>1890049.20319169</v>
      </c>
      <c r="M12" s="12" t="n">
        <f aca="false">'Cost of Revenue'!H15</f>
        <v>2093214.25100019</v>
      </c>
      <c r="N12" s="12" t="n">
        <f aca="false">'Cost of Revenue'!B41</f>
        <v>11224336.7343304</v>
      </c>
      <c r="O12" s="12" t="n">
        <f aca="false">'Cost of Revenue'!C41</f>
        <v>50153869.875139</v>
      </c>
      <c r="P12" s="12" t="n">
        <f aca="false">'Cost of Revenue'!D41</f>
        <v>96162779.5938348</v>
      </c>
    </row>
    <row r="13" customFormat="false" ht="15" hidden="false" customHeight="true" outlineLevel="0" collapsed="false">
      <c r="A13" s="19" t="s">
        <v>192</v>
      </c>
      <c r="B13" s="12" t="n">
        <f aca="false">-'Operating Expenses'!B4</f>
        <v>-1089000</v>
      </c>
      <c r="C13" s="12" t="n">
        <f aca="false">-'Operating Expenses'!B5</f>
        <v>-1089000</v>
      </c>
      <c r="D13" s="12" t="n">
        <f aca="false">-'Operating Expenses'!B6</f>
        <v>-1089000</v>
      </c>
      <c r="E13" s="12" t="n">
        <f aca="false">-'Operating Expenses'!B7</f>
        <v>-1089000</v>
      </c>
      <c r="F13" s="12" t="n">
        <f aca="false">-'Operating Expenses'!B8</f>
        <v>-1089000</v>
      </c>
      <c r="G13" s="12" t="n">
        <f aca="false">-'Operating Expenses'!B9</f>
        <v>-1089000</v>
      </c>
      <c r="H13" s="12" t="n">
        <f aca="false">-'Operating Expenses'!B10</f>
        <v>-2148000</v>
      </c>
      <c r="I13" s="12" t="n">
        <f aca="false">-'Operating Expenses'!B11</f>
        <v>-2148000</v>
      </c>
      <c r="J13" s="12" t="n">
        <f aca="false">-'Operating Expenses'!B12</f>
        <v>-2148000</v>
      </c>
      <c r="K13" s="12" t="n">
        <f aca="false">-'Operating Expenses'!B13</f>
        <v>-2148000</v>
      </c>
      <c r="L13" s="12" t="n">
        <f aca="false">-'Operating Expenses'!B14</f>
        <v>-2148000</v>
      </c>
      <c r="M13" s="12" t="n">
        <f aca="false">-'Operating Expenses'!B15</f>
        <v>-2148000</v>
      </c>
      <c r="N13" s="12" t="n">
        <f aca="false">-SUM('Operating Expenses'!B4:B15)</f>
        <v>-19422000</v>
      </c>
      <c r="O13" s="12" t="n">
        <f aca="false">-SUM('Operating Expenses'!B16:B27)</f>
        <v>-33408000</v>
      </c>
      <c r="P13" s="12" t="n">
        <f aca="false">-SUM('Operating Expenses'!B28:B39)</f>
        <v>-41040000</v>
      </c>
    </row>
    <row r="14" customFormat="false" ht="15" hidden="false" customHeight="true" outlineLevel="0" collapsed="false">
      <c r="A14" s="19" t="s">
        <v>193</v>
      </c>
      <c r="B14" s="12" t="n">
        <f aca="false">-'Operating Expenses'!C4</f>
        <v>-300000</v>
      </c>
      <c r="C14" s="12" t="n">
        <f aca="false">-'Operating Expenses'!C5</f>
        <v>-300000</v>
      </c>
      <c r="D14" s="12" t="n">
        <f aca="false">-'Operating Expenses'!C6</f>
        <v>-300000</v>
      </c>
      <c r="E14" s="12" t="n">
        <f aca="false">-'Operating Expenses'!C7</f>
        <v>-800000</v>
      </c>
      <c r="F14" s="12" t="n">
        <f aca="false">-'Operating Expenses'!C8</f>
        <v>-800000</v>
      </c>
      <c r="G14" s="12" t="n">
        <f aca="false">-'Operating Expenses'!C9</f>
        <v>-800000</v>
      </c>
      <c r="H14" s="12" t="n">
        <f aca="false">-'Operating Expenses'!C10</f>
        <v>-1500000</v>
      </c>
      <c r="I14" s="12" t="n">
        <f aca="false">-'Operating Expenses'!C11</f>
        <v>-1500000</v>
      </c>
      <c r="J14" s="12" t="n">
        <f aca="false">-'Operating Expenses'!C12</f>
        <v>-1500000</v>
      </c>
      <c r="K14" s="12" t="n">
        <f aca="false">-'Operating Expenses'!C13</f>
        <v>-1500000</v>
      </c>
      <c r="L14" s="12" t="n">
        <f aca="false">-'Operating Expenses'!C14</f>
        <v>-1500000</v>
      </c>
      <c r="M14" s="12" t="n">
        <f aca="false">-'Operating Expenses'!C15</f>
        <v>-1500000</v>
      </c>
      <c r="N14" s="12" t="n">
        <f aca="false">-SUM('Operating Expenses'!C4:C15)</f>
        <v>-12300000</v>
      </c>
      <c r="O14" s="12" t="n">
        <f aca="false">-SUM('Operating Expenses'!C16:C27)</f>
        <v>-30000000</v>
      </c>
      <c r="P14" s="12" t="n">
        <f aca="false">-SUM('Operating Expenses'!C28:C39)</f>
        <v>-42000000</v>
      </c>
    </row>
    <row r="15" customFormat="false" ht="15" hidden="false" customHeight="true" outlineLevel="0" collapsed="false">
      <c r="A15" s="19" t="s">
        <v>221</v>
      </c>
      <c r="B15" s="12" t="n">
        <f aca="false">-'Operating Expenses'!D4</f>
        <v>-120000</v>
      </c>
      <c r="C15" s="12" t="n">
        <f aca="false">-'Operating Expenses'!D5</f>
        <v>-120000</v>
      </c>
      <c r="D15" s="12" t="n">
        <f aca="false">-'Operating Expenses'!D6</f>
        <v>-120000</v>
      </c>
      <c r="E15" s="12" t="n">
        <f aca="false">-'Operating Expenses'!D7</f>
        <v>-120000</v>
      </c>
      <c r="F15" s="12" t="n">
        <f aca="false">-'Operating Expenses'!D8</f>
        <v>-120000</v>
      </c>
      <c r="G15" s="12" t="n">
        <f aca="false">-'Operating Expenses'!D9</f>
        <v>-120000</v>
      </c>
      <c r="H15" s="12" t="n">
        <f aca="false">-'Operating Expenses'!D10</f>
        <v>-200000</v>
      </c>
      <c r="I15" s="12" t="n">
        <f aca="false">-'Operating Expenses'!D11</f>
        <v>-200000</v>
      </c>
      <c r="J15" s="12" t="n">
        <f aca="false">-'Operating Expenses'!D12</f>
        <v>-200000</v>
      </c>
      <c r="K15" s="12" t="n">
        <f aca="false">-'Operating Expenses'!D13</f>
        <v>-200000</v>
      </c>
      <c r="L15" s="12" t="n">
        <f aca="false">-'Operating Expenses'!D14</f>
        <v>-200000</v>
      </c>
      <c r="M15" s="12" t="n">
        <f aca="false">-'Operating Expenses'!D15</f>
        <v>-200000</v>
      </c>
      <c r="N15" s="12" t="n">
        <f aca="false">-SUM('Operating Expenses'!D4:D15)</f>
        <v>-1920000</v>
      </c>
      <c r="O15" s="12" t="n">
        <f aca="false">-SUM('Operating Expenses'!D16:D27)</f>
        <v>-3120000</v>
      </c>
      <c r="P15" s="12" t="n">
        <f aca="false">-SUM('Operating Expenses'!D28:D39)</f>
        <v>-3840000</v>
      </c>
    </row>
    <row r="16" customFormat="false" ht="15" hidden="false" customHeight="true" outlineLevel="0" collapsed="false">
      <c r="A16" s="19" t="s">
        <v>222</v>
      </c>
      <c r="B16" s="12" t="n">
        <f aca="false">-'Operating Expenses'!E4</f>
        <v>-150000</v>
      </c>
      <c r="C16" s="12" t="n">
        <f aca="false">-'Operating Expenses'!E5</f>
        <v>-150000</v>
      </c>
      <c r="D16" s="12" t="n">
        <f aca="false">-'Operating Expenses'!E6</f>
        <v>-150000</v>
      </c>
      <c r="E16" s="12" t="n">
        <f aca="false">-'Operating Expenses'!E7</f>
        <v>-150000</v>
      </c>
      <c r="F16" s="12" t="n">
        <f aca="false">-'Operating Expenses'!E8</f>
        <v>-150000</v>
      </c>
      <c r="G16" s="12" t="n">
        <f aca="false">-'Operating Expenses'!E9</f>
        <v>-150000</v>
      </c>
      <c r="H16" s="12" t="n">
        <f aca="false">-'Operating Expenses'!E10</f>
        <v>-250000</v>
      </c>
      <c r="I16" s="12" t="n">
        <f aca="false">-'Operating Expenses'!E11</f>
        <v>-250000</v>
      </c>
      <c r="J16" s="12" t="n">
        <f aca="false">-'Operating Expenses'!E12</f>
        <v>-250000</v>
      </c>
      <c r="K16" s="12" t="n">
        <f aca="false">-'Operating Expenses'!E13</f>
        <v>-250000</v>
      </c>
      <c r="L16" s="12" t="n">
        <f aca="false">-'Operating Expenses'!E14</f>
        <v>-250000</v>
      </c>
      <c r="M16" s="12" t="n">
        <f aca="false">-'Operating Expenses'!E15</f>
        <v>-250000</v>
      </c>
      <c r="N16" s="12" t="n">
        <f aca="false">-SUM('Operating Expenses'!E4:E15)</f>
        <v>-2400000</v>
      </c>
      <c r="O16" s="12" t="n">
        <f aca="false">-SUM('Operating Expenses'!E16:E27)</f>
        <v>-3900000</v>
      </c>
      <c r="P16" s="12" t="n">
        <f aca="false">-SUM('Operating Expenses'!E28:E39)</f>
        <v>-4800000</v>
      </c>
    </row>
    <row r="17" customFormat="false" ht="15" hidden="false" customHeight="true" outlineLevel="0" collapsed="false">
      <c r="A17" s="19" t="s">
        <v>223</v>
      </c>
      <c r="B17" s="12" t="n">
        <f aca="false">-'Operating Expenses'!F4</f>
        <v>-67950</v>
      </c>
      <c r="C17" s="12" t="n">
        <f aca="false">-'Operating Expenses'!F5</f>
        <v>-67950</v>
      </c>
      <c r="D17" s="12" t="n">
        <f aca="false">-'Operating Expenses'!F6</f>
        <v>-67950</v>
      </c>
      <c r="E17" s="12" t="n">
        <f aca="false">-'Operating Expenses'!F7</f>
        <v>-67950</v>
      </c>
      <c r="F17" s="12" t="n">
        <f aca="false">-'Operating Expenses'!F8</f>
        <v>-67950</v>
      </c>
      <c r="G17" s="12" t="n">
        <f aca="false">-'Operating Expenses'!F9</f>
        <v>-67950</v>
      </c>
      <c r="H17" s="12" t="n">
        <f aca="false">-'Operating Expenses'!F10</f>
        <v>-129900</v>
      </c>
      <c r="I17" s="12" t="n">
        <f aca="false">-'Operating Expenses'!F11</f>
        <v>-129900</v>
      </c>
      <c r="J17" s="12" t="n">
        <f aca="false">-'Operating Expenses'!F12</f>
        <v>-129900</v>
      </c>
      <c r="K17" s="12" t="n">
        <f aca="false">-'Operating Expenses'!F13</f>
        <v>-129900</v>
      </c>
      <c r="L17" s="12" t="n">
        <f aca="false">-'Operating Expenses'!F14</f>
        <v>-129900</v>
      </c>
      <c r="M17" s="12" t="n">
        <f aca="false">-'Operating Expenses'!F15</f>
        <v>-129900</v>
      </c>
      <c r="N17" s="12" t="n">
        <f aca="false">-SUM('Operating Expenses'!F4:F15)</f>
        <v>-1187100</v>
      </c>
      <c r="O17" s="12" t="n">
        <f aca="false">-SUM('Operating Expenses'!F16:F27)</f>
        <v>-2021400</v>
      </c>
      <c r="P17" s="12" t="n">
        <f aca="false">-SUM('Operating Expenses'!F28:F39)</f>
        <v>-2484000</v>
      </c>
    </row>
    <row r="18" customFormat="false" ht="15" hidden="false" customHeight="true" outlineLevel="0" collapsed="false">
      <c r="A18" s="14" t="s">
        <v>198</v>
      </c>
      <c r="B18" s="12" t="n">
        <f aca="false">'Operating Expenses'!J4</f>
        <v>-1695293.2</v>
      </c>
      <c r="C18" s="12" t="n">
        <f aca="false">'Operating Expenses'!J5</f>
        <v>-1633879.008</v>
      </c>
      <c r="D18" s="12" t="n">
        <f aca="false">'Operating Expenses'!J6</f>
        <v>-1576149.66752</v>
      </c>
      <c r="E18" s="12" t="n">
        <f aca="false">'Operating Expenses'!J7</f>
        <v>-1867368.75413547</v>
      </c>
      <c r="F18" s="12" t="n">
        <f aca="false">'Operating Expenses'!J8</f>
        <v>-1618353.36222067</v>
      </c>
      <c r="G18" s="12" t="n">
        <f aca="false">'Operating Expenses'!J9</f>
        <v>-1486032.89382077</v>
      </c>
      <c r="H18" s="12" t="n">
        <f aca="false">'Operating Expenses'!J10</f>
        <v>-3288735.78685819</v>
      </c>
      <c r="I18" s="12" t="n">
        <f aca="false">'Operating Expenses'!J11</f>
        <v>-3028517.63964669</v>
      </c>
      <c r="J18" s="12" t="n">
        <f aca="false">'Operating Expenses'!J12</f>
        <v>-2783912.58126789</v>
      </c>
      <c r="K18" s="12" t="n">
        <f aca="false">'Operating Expenses'!J13</f>
        <v>-2553983.82639182</v>
      </c>
      <c r="L18" s="12" t="n">
        <f aca="false">'Operating Expenses'!J14</f>
        <v>-2337850.79680831</v>
      </c>
      <c r="M18" s="12" t="n">
        <f aca="false">'Operating Expenses'!J15</f>
        <v>-2134685.74899981</v>
      </c>
      <c r="N18" s="12" t="n">
        <f aca="false">'Operating Expenses'!B41</f>
        <v>-26004763.2656696</v>
      </c>
      <c r="O18" s="12" t="n">
        <f aca="false">'Operating Expenses'!C41</f>
        <v>-22295530.124861</v>
      </c>
      <c r="P18" s="12" t="n">
        <f aca="false">'Operating Expenses'!D41</f>
        <v>1998779.59383478</v>
      </c>
    </row>
    <row r="19" customFormat="false" ht="15" hidden="false" customHeight="true" outlineLevel="0" collapsed="false">
      <c r="A19" s="19" t="s">
        <v>224</v>
      </c>
      <c r="B19" s="12" t="n">
        <f aca="false">-8333</f>
        <v>-8333</v>
      </c>
      <c r="C19" s="12" t="n">
        <f aca="false">-8333</f>
        <v>-8333</v>
      </c>
      <c r="D19" s="12" t="n">
        <f aca="false">-8333</f>
        <v>-8333</v>
      </c>
      <c r="E19" s="12" t="n">
        <f aca="false">-8333</f>
        <v>-8333</v>
      </c>
      <c r="F19" s="12" t="n">
        <f aca="false">-8333</f>
        <v>-8333</v>
      </c>
      <c r="G19" s="12" t="n">
        <f aca="false">-8333</f>
        <v>-8333</v>
      </c>
      <c r="H19" s="12" t="n">
        <f aca="false">-8333</f>
        <v>-8333</v>
      </c>
      <c r="I19" s="12" t="n">
        <f aca="false">-8333</f>
        <v>-8333</v>
      </c>
      <c r="J19" s="12" t="n">
        <f aca="false">-8333</f>
        <v>-8333</v>
      </c>
      <c r="K19" s="12" t="n">
        <f aca="false">-8333</f>
        <v>-8333</v>
      </c>
      <c r="L19" s="12" t="n">
        <f aca="false">-8333</f>
        <v>-8333</v>
      </c>
      <c r="M19" s="12" t="n">
        <f aca="false">-8333</f>
        <v>-8333</v>
      </c>
      <c r="N19" s="12" t="n">
        <f aca="false">-100000</f>
        <v>-100000</v>
      </c>
      <c r="O19" s="12" t="n">
        <f aca="false">-100000</f>
        <v>-100000</v>
      </c>
      <c r="P19" s="12" t="n">
        <f aca="false">-100000</f>
        <v>-100000</v>
      </c>
    </row>
    <row r="20" customFormat="false" ht="15" hidden="false" customHeight="true" outlineLevel="0" collapsed="false">
      <c r="A20" s="19" t="s">
        <v>225</v>
      </c>
      <c r="B20" s="12" t="n">
        <f aca="false">B18+B19</f>
        <v>-1703626.2</v>
      </c>
      <c r="C20" s="12" t="n">
        <f aca="false">C18+C19</f>
        <v>-1642212.008</v>
      </c>
      <c r="D20" s="12" t="n">
        <f aca="false">D18+D19</f>
        <v>-1584482.66752</v>
      </c>
      <c r="E20" s="12" t="n">
        <f aca="false">E18+E19</f>
        <v>-1875701.75413547</v>
      </c>
      <c r="F20" s="12" t="n">
        <f aca="false">F18+F19</f>
        <v>-1626686.36222067</v>
      </c>
      <c r="G20" s="12" t="n">
        <f aca="false">G18+G19</f>
        <v>-1494365.89382077</v>
      </c>
      <c r="H20" s="12" t="n">
        <f aca="false">H18+H19</f>
        <v>-3297068.78685819</v>
      </c>
      <c r="I20" s="12" t="n">
        <f aca="false">I18+I19</f>
        <v>-3036850.63964669</v>
      </c>
      <c r="J20" s="12" t="n">
        <f aca="false">J18+J19</f>
        <v>-2792245.58126789</v>
      </c>
      <c r="K20" s="12" t="n">
        <f aca="false">K18+K19</f>
        <v>-2562316.82639182</v>
      </c>
      <c r="L20" s="12" t="n">
        <f aca="false">L18+L19</f>
        <v>-2346183.79680831</v>
      </c>
      <c r="M20" s="12" t="n">
        <f aca="false">M18+M19</f>
        <v>-2143018.74899981</v>
      </c>
      <c r="N20" s="12" t="n">
        <f aca="false">N18+N19</f>
        <v>-26104763.2656696</v>
      </c>
      <c r="O20" s="12" t="n">
        <f aca="false">O18+O19</f>
        <v>-22395530.124861</v>
      </c>
      <c r="P20" s="12" t="n">
        <f aca="false">P18+P19</f>
        <v>1898779.59383478</v>
      </c>
    </row>
    <row r="21" customFormat="false" ht="15" hidden="false" customHeight="true" outlineLevel="0" collapsed="false">
      <c r="A21" s="19" t="s">
        <v>226</v>
      </c>
      <c r="B21" s="12" t="n">
        <f aca="false">0</f>
        <v>0</v>
      </c>
      <c r="C21" s="12" t="n">
        <f aca="false">0</f>
        <v>0</v>
      </c>
      <c r="D21" s="12" t="n">
        <f aca="false">0</f>
        <v>0</v>
      </c>
      <c r="E21" s="12" t="n">
        <f aca="false">0</f>
        <v>0</v>
      </c>
      <c r="F21" s="12" t="n">
        <f aca="false">0</f>
        <v>0</v>
      </c>
      <c r="G21" s="12" t="n">
        <f aca="false">0</f>
        <v>0</v>
      </c>
      <c r="H21" s="12" t="n">
        <f aca="false">0</f>
        <v>0</v>
      </c>
      <c r="I21" s="12" t="n">
        <f aca="false">0</f>
        <v>0</v>
      </c>
      <c r="J21" s="12" t="n">
        <f aca="false">0</f>
        <v>0</v>
      </c>
      <c r="K21" s="12" t="n">
        <f aca="false">0</f>
        <v>0</v>
      </c>
      <c r="L21" s="12" t="n">
        <f aca="false">0</f>
        <v>0</v>
      </c>
      <c r="M21" s="12" t="n">
        <f aca="false">0</f>
        <v>0</v>
      </c>
      <c r="N21" s="12" t="n">
        <f aca="false">0</f>
        <v>0</v>
      </c>
      <c r="O21" s="12" t="n">
        <f aca="false">0</f>
        <v>0</v>
      </c>
      <c r="P21" s="12" t="n">
        <f aca="false">IF('Operating Expenses'!D41&gt;0,-0.25*MAX(0,'Operating Expenses'!D41-100000-4500000),0)</f>
        <v>-0</v>
      </c>
    </row>
    <row r="22" customFormat="false" ht="15" hidden="false" customHeight="true" outlineLevel="0" collapsed="false">
      <c r="A22" s="14" t="s">
        <v>227</v>
      </c>
      <c r="B22" s="12" t="n">
        <f aca="false">B20+B21</f>
        <v>-1703626.2</v>
      </c>
      <c r="C22" s="12" t="n">
        <f aca="false">C20+C21</f>
        <v>-1642212.008</v>
      </c>
      <c r="D22" s="12" t="n">
        <f aca="false">D20+D21</f>
        <v>-1584482.66752</v>
      </c>
      <c r="E22" s="12" t="n">
        <f aca="false">E20+E21</f>
        <v>-1875701.75413547</v>
      </c>
      <c r="F22" s="12" t="n">
        <f aca="false">F20+F21</f>
        <v>-1626686.36222067</v>
      </c>
      <c r="G22" s="12" t="n">
        <f aca="false">G20+G21</f>
        <v>-1494365.89382077</v>
      </c>
      <c r="H22" s="12" t="n">
        <f aca="false">H20+H21</f>
        <v>-3297068.78685819</v>
      </c>
      <c r="I22" s="12" t="n">
        <f aca="false">I20+I21</f>
        <v>-3036850.63964669</v>
      </c>
      <c r="J22" s="12" t="n">
        <f aca="false">J20+J21</f>
        <v>-2792245.58126789</v>
      </c>
      <c r="K22" s="12" t="n">
        <f aca="false">K20+K21</f>
        <v>-2562316.82639182</v>
      </c>
      <c r="L22" s="12" t="n">
        <f aca="false">L20+L21</f>
        <v>-2346183.79680831</v>
      </c>
      <c r="M22" s="12" t="n">
        <f aca="false">M20+M21</f>
        <v>-2143018.74899981</v>
      </c>
      <c r="N22" s="12" t="n">
        <f aca="false">N20+N21</f>
        <v>-26104763.2656696</v>
      </c>
      <c r="O22" s="12" t="n">
        <f aca="false">O20+O21</f>
        <v>-22395530.124861</v>
      </c>
      <c r="P22" s="12" t="n">
        <f aca="false">P20+P21</f>
        <v>1898779.59383478</v>
      </c>
    </row>
    <row r="24" customFormat="false" ht="15" hidden="false" customHeight="true" outlineLevel="0" collapsed="false">
      <c r="A24" s="1" t="s">
        <v>228</v>
      </c>
      <c r="N24" s="18" t="n">
        <f aca="false">N12/N7</f>
        <v>0.790629370629371</v>
      </c>
      <c r="O24" s="18" t="n">
        <f aca="false">O12/O7</f>
        <v>0.790629370629371</v>
      </c>
      <c r="P24" s="18" t="n">
        <f aca="false">P12/P7</f>
        <v>0.790629370629371</v>
      </c>
    </row>
    <row r="25" customFormat="false" ht="15" hidden="false" customHeight="true" outlineLevel="0" collapsed="false">
      <c r="A25" s="10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3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3"/>
  </cols>
  <sheetData>
    <row r="1" customFormat="false" ht="15.75" hidden="false" customHeight="true" outlineLevel="0" collapsed="false">
      <c r="A1" s="2" t="s">
        <v>230</v>
      </c>
    </row>
    <row r="3" customFormat="false" ht="26.25" hidden="false" customHeight="true" outlineLevel="0" collapsed="false">
      <c r="A3" s="11" t="s">
        <v>92</v>
      </c>
      <c r="B3" s="11" t="s">
        <v>231</v>
      </c>
      <c r="C3" s="11" t="s">
        <v>232</v>
      </c>
      <c r="D3" s="11" t="s">
        <v>198</v>
      </c>
      <c r="E3" s="11" t="s">
        <v>233</v>
      </c>
      <c r="F3" s="11" t="s">
        <v>234</v>
      </c>
      <c r="G3" s="11" t="s">
        <v>235</v>
      </c>
    </row>
    <row r="4" customFormat="false" ht="15" hidden="false" customHeight="true" outlineLevel="0" collapsed="false">
      <c r="A4" s="1" t="n">
        <v>1</v>
      </c>
      <c r="B4" s="12" t="n">
        <v>12500000</v>
      </c>
      <c r="C4" s="17" t="n">
        <v>0</v>
      </c>
      <c r="D4" s="16" t="n">
        <f aca="false">'Operating Expenses'!J4</f>
        <v>-1695293.2</v>
      </c>
      <c r="E4" s="12" t="n">
        <f aca="false">Revenue!H4-IF(A4=1,0,Revenue!H3)</f>
        <v>251020</v>
      </c>
      <c r="F4" s="12" t="n">
        <v>0</v>
      </c>
      <c r="G4" s="12" t="n">
        <f aca="false">B4+C4+D4+E4+F4</f>
        <v>11055726.8</v>
      </c>
    </row>
    <row r="5" customFormat="false" ht="15" hidden="false" customHeight="true" outlineLevel="0" collapsed="false">
      <c r="A5" s="1" t="n">
        <v>2</v>
      </c>
      <c r="B5" s="12" t="n">
        <f aca="false">G4</f>
        <v>11055726.8</v>
      </c>
      <c r="C5" s="17" t="n">
        <v>0</v>
      </c>
      <c r="D5" s="16" t="n">
        <f aca="false">'Operating Expenses'!J5</f>
        <v>-1633879.008</v>
      </c>
      <c r="E5" s="12" t="n">
        <f aca="false">Revenue!H5-IF(A5=1,0,Revenue!H4)</f>
        <v>0</v>
      </c>
      <c r="F5" s="12" t="n">
        <v>-150000</v>
      </c>
      <c r="G5" s="12" t="n">
        <f aca="false">B5+C5+D5+E5+F5</f>
        <v>9271847.792</v>
      </c>
    </row>
    <row r="6" customFormat="false" ht="15" hidden="false" customHeight="true" outlineLevel="0" collapsed="false">
      <c r="A6" s="1" t="n">
        <v>3</v>
      </c>
      <c r="B6" s="12" t="n">
        <f aca="false">G5</f>
        <v>9271847.792</v>
      </c>
      <c r="C6" s="17" t="n">
        <v>0</v>
      </c>
      <c r="D6" s="16" t="n">
        <f aca="false">'Operating Expenses'!J6</f>
        <v>-1576149.66752</v>
      </c>
      <c r="E6" s="12" t="n">
        <f aca="false">Revenue!H6-IF(A6=1,0,Revenue!H5)</f>
        <v>0</v>
      </c>
      <c r="F6" s="12" t="n">
        <v>0</v>
      </c>
      <c r="G6" s="12" t="n">
        <f aca="false">B6+C6+D6+E6+F6</f>
        <v>7695698.12448</v>
      </c>
    </row>
    <row r="7" customFormat="false" ht="15" hidden="false" customHeight="true" outlineLevel="0" collapsed="false">
      <c r="A7" s="1" t="n">
        <v>4</v>
      </c>
      <c r="B7" s="12" t="n">
        <f aca="false">G6</f>
        <v>7695698.12448</v>
      </c>
      <c r="C7" s="17" t="n">
        <v>0</v>
      </c>
      <c r="D7" s="16" t="n">
        <f aca="false">'Operating Expenses'!J7</f>
        <v>-1867368.75413547</v>
      </c>
      <c r="E7" s="12" t="n">
        <f aca="false">Revenue!H7-IF(A7=1,0,Revenue!H6)</f>
        <v>1225216.66666667</v>
      </c>
      <c r="F7" s="12" t="n">
        <v>0</v>
      </c>
      <c r="G7" s="12" t="n">
        <f aca="false">B7+C7+D7+E7+F7</f>
        <v>7053546.0370112</v>
      </c>
    </row>
    <row r="8" customFormat="false" ht="15" hidden="false" customHeight="true" outlineLevel="0" collapsed="false">
      <c r="A8" s="1" t="n">
        <v>5</v>
      </c>
      <c r="B8" s="12" t="n">
        <f aca="false">G7</f>
        <v>7053546.0370112</v>
      </c>
      <c r="C8" s="17" t="n">
        <v>0</v>
      </c>
      <c r="D8" s="16" t="n">
        <f aca="false">'Operating Expenses'!J8</f>
        <v>-1618353.36222067</v>
      </c>
      <c r="E8" s="12" t="n">
        <f aca="false">Revenue!H8-IF(A8=1,0,Revenue!H7)</f>
        <v>-806850</v>
      </c>
      <c r="F8" s="12" t="n">
        <v>0</v>
      </c>
      <c r="G8" s="12" t="n">
        <f aca="false">B8+C8+D8+E8+F8</f>
        <v>4628342.67479053</v>
      </c>
    </row>
    <row r="9" customFormat="false" ht="15" hidden="false" customHeight="true" outlineLevel="0" collapsed="false">
      <c r="A9" s="1" t="n">
        <v>6</v>
      </c>
      <c r="B9" s="12" t="n">
        <f aca="false">G8</f>
        <v>4628342.67479053</v>
      </c>
      <c r="C9" s="17" t="n">
        <v>0</v>
      </c>
      <c r="D9" s="16" t="n">
        <f aca="false">'Operating Expenses'!J9</f>
        <v>-1486032.89382077</v>
      </c>
      <c r="E9" s="12" t="n">
        <f aca="false">Revenue!H9-IF(A9=1,0,Revenue!H8)</f>
        <v>0</v>
      </c>
      <c r="F9" s="12" t="n">
        <v>0</v>
      </c>
      <c r="G9" s="12" t="n">
        <f aca="false">B9+C9+D9+E9+F9</f>
        <v>3142309.78096976</v>
      </c>
    </row>
    <row r="10" customFormat="false" ht="15" hidden="false" customHeight="true" outlineLevel="0" collapsed="false">
      <c r="A10" s="1" t="n">
        <v>7</v>
      </c>
      <c r="B10" s="12" t="n">
        <f aca="false">G9</f>
        <v>3142309.78096976</v>
      </c>
      <c r="C10" s="17" t="n">
        <v>33000000</v>
      </c>
      <c r="D10" s="16" t="n">
        <f aca="false">'Operating Expenses'!J10</f>
        <v>-3288735.78685819</v>
      </c>
      <c r="E10" s="12" t="n">
        <f aca="false">Revenue!H10-IF(A10=1,0,Revenue!H9)</f>
        <v>585713.333333333</v>
      </c>
      <c r="F10" s="12" t="n">
        <v>0</v>
      </c>
      <c r="G10" s="12" t="n">
        <f aca="false">B10+C10+D10+E10+F10</f>
        <v>33439287.3274449</v>
      </c>
    </row>
    <row r="11" customFormat="false" ht="15" hidden="false" customHeight="true" outlineLevel="0" collapsed="false">
      <c r="A11" s="1" t="n">
        <v>8</v>
      </c>
      <c r="B11" s="12" t="n">
        <f aca="false">G10</f>
        <v>33439287.3274449</v>
      </c>
      <c r="C11" s="17" t="n">
        <v>0</v>
      </c>
      <c r="D11" s="16" t="n">
        <f aca="false">'Operating Expenses'!J11</f>
        <v>-3028517.63964669</v>
      </c>
      <c r="E11" s="12" t="n">
        <f aca="false">Revenue!H11-IF(A11=1,0,Revenue!H10)</f>
        <v>0</v>
      </c>
      <c r="F11" s="12" t="n">
        <v>-150000</v>
      </c>
      <c r="G11" s="12" t="n">
        <f aca="false">B11+C11+D11+E11+F11</f>
        <v>30260769.6877982</v>
      </c>
    </row>
    <row r="12" customFormat="false" ht="15" hidden="false" customHeight="true" outlineLevel="0" collapsed="false">
      <c r="A12" s="1" t="n">
        <v>9</v>
      </c>
      <c r="B12" s="12" t="n">
        <f aca="false">G11</f>
        <v>30260769.6877982</v>
      </c>
      <c r="C12" s="17" t="n">
        <v>0</v>
      </c>
      <c r="D12" s="16" t="n">
        <f aca="false">'Operating Expenses'!J12</f>
        <v>-2783912.58126789</v>
      </c>
      <c r="E12" s="12" t="n">
        <f aca="false">Revenue!H12-IF(A12=1,0,Revenue!H11)</f>
        <v>0</v>
      </c>
      <c r="F12" s="12" t="n">
        <v>0</v>
      </c>
      <c r="G12" s="12" t="n">
        <f aca="false">B12+C12+D12+E12+F12</f>
        <v>27476857.1065303</v>
      </c>
    </row>
    <row r="13" customFormat="false" ht="15" hidden="false" customHeight="true" outlineLevel="0" collapsed="false">
      <c r="A13" s="1" t="n">
        <v>10</v>
      </c>
      <c r="B13" s="12" t="n">
        <f aca="false">G12</f>
        <v>27476857.1065303</v>
      </c>
      <c r="C13" s="17" t="n">
        <v>0</v>
      </c>
      <c r="D13" s="16" t="n">
        <f aca="false">'Operating Expenses'!J13</f>
        <v>-2553983.82639182</v>
      </c>
      <c r="E13" s="12" t="n">
        <f aca="false">Revenue!H13-IF(A13=1,0,Revenue!H12)</f>
        <v>0</v>
      </c>
      <c r="F13" s="12" t="n">
        <v>0</v>
      </c>
      <c r="G13" s="12" t="n">
        <f aca="false">B13+C13+D13+E13+F13</f>
        <v>24922873.2801385</v>
      </c>
    </row>
    <row r="14" customFormat="false" ht="15" hidden="false" customHeight="true" outlineLevel="0" collapsed="false">
      <c r="A14" s="1" t="n">
        <v>11</v>
      </c>
      <c r="B14" s="12" t="n">
        <f aca="false">G13</f>
        <v>24922873.2801385</v>
      </c>
      <c r="C14" s="17" t="n">
        <v>0</v>
      </c>
      <c r="D14" s="16" t="n">
        <f aca="false">'Operating Expenses'!J14</f>
        <v>-2337850.79680831</v>
      </c>
      <c r="E14" s="12" t="n">
        <f aca="false">Revenue!H14-IF(A14=1,0,Revenue!H13)</f>
        <v>0</v>
      </c>
      <c r="F14" s="12" t="n">
        <v>0</v>
      </c>
      <c r="G14" s="12" t="n">
        <f aca="false">B14+C14+D14+E14+F14</f>
        <v>22585022.4833302</v>
      </c>
    </row>
    <row r="15" customFormat="false" ht="15" hidden="false" customHeight="true" outlineLevel="0" collapsed="false">
      <c r="A15" s="1" t="n">
        <v>12</v>
      </c>
      <c r="B15" s="12" t="n">
        <f aca="false">G14</f>
        <v>22585022.4833302</v>
      </c>
      <c r="C15" s="17" t="n">
        <v>0</v>
      </c>
      <c r="D15" s="16" t="n">
        <f aca="false">'Operating Expenses'!J15</f>
        <v>-2134685.74899981</v>
      </c>
      <c r="E15" s="12" t="n">
        <f aca="false">Revenue!H15-IF(A15=1,0,Revenue!H14)</f>
        <v>0</v>
      </c>
      <c r="F15" s="12" t="n">
        <v>0</v>
      </c>
      <c r="G15" s="12" t="n">
        <f aca="false">B15+C15+D15+E15+F15</f>
        <v>20450336.7343304</v>
      </c>
    </row>
    <row r="16" customFormat="false" ht="15" hidden="false" customHeight="true" outlineLevel="0" collapsed="false">
      <c r="A16" s="1" t="n">
        <v>13</v>
      </c>
      <c r="B16" s="12" t="n">
        <f aca="false">G15</f>
        <v>20450336.7343304</v>
      </c>
      <c r="C16" s="17" t="n">
        <v>0</v>
      </c>
      <c r="D16" s="16" t="n">
        <f aca="false">'Operating Expenses'!J16</f>
        <v>-2837640.02363132</v>
      </c>
      <c r="E16" s="12" t="n">
        <f aca="false">Revenue!H16-IF(A16=1,0,Revenue!H15)</f>
        <v>836733.333333334</v>
      </c>
      <c r="F16" s="12" t="n">
        <v>0</v>
      </c>
      <c r="G16" s="12" t="n">
        <f aca="false">B16+C16+D16+E16+F16</f>
        <v>18449430.0440324</v>
      </c>
    </row>
    <row r="17" customFormat="false" ht="15" hidden="false" customHeight="true" outlineLevel="0" collapsed="false">
      <c r="A17" s="1" t="n">
        <v>14</v>
      </c>
      <c r="B17" s="12" t="n">
        <f aca="false">G16</f>
        <v>18449430.0440324</v>
      </c>
      <c r="C17" s="17" t="n">
        <v>0</v>
      </c>
      <c r="D17" s="16" t="n">
        <f aca="false">'Operating Expenses'!J17</f>
        <v>-2451599.94266558</v>
      </c>
      <c r="E17" s="12" t="n">
        <f aca="false">Revenue!H17-IF(A17=1,0,Revenue!H16)</f>
        <v>0</v>
      </c>
      <c r="F17" s="12" t="n">
        <v>0</v>
      </c>
      <c r="G17" s="12" t="n">
        <f aca="false">B17+C17+D17+E17+F17</f>
        <v>15997830.1013668</v>
      </c>
    </row>
    <row r="18" customFormat="false" ht="15" hidden="false" customHeight="true" outlineLevel="0" collapsed="false">
      <c r="A18" s="1" t="n">
        <v>15</v>
      </c>
      <c r="B18" s="12" t="n">
        <f aca="false">G17</f>
        <v>15997830.1013668</v>
      </c>
      <c r="C18" s="17" t="n">
        <v>0</v>
      </c>
      <c r="D18" s="16" t="n">
        <f aca="false">'Operating Expenses'!J18</f>
        <v>-2087047.37891265</v>
      </c>
      <c r="E18" s="12" t="n">
        <f aca="false">Revenue!H18-IF(A18=1,0,Revenue!H17)</f>
        <v>0</v>
      </c>
      <c r="F18" s="12" t="n">
        <v>0</v>
      </c>
      <c r="G18" s="12" t="n">
        <f aca="false">B18+C18+D18+E18+F18</f>
        <v>13910782.7224542</v>
      </c>
    </row>
    <row r="19" customFormat="false" ht="15" hidden="false" customHeight="true" outlineLevel="0" collapsed="false">
      <c r="A19" s="1" t="n">
        <v>16</v>
      </c>
      <c r="B19" s="12" t="n">
        <f aca="false">G18</f>
        <v>13910782.7224542</v>
      </c>
      <c r="C19" s="17" t="n">
        <v>0</v>
      </c>
      <c r="D19" s="16" t="n">
        <f aca="false">'Operating Expenses'!J19</f>
        <v>-1742344.43140471</v>
      </c>
      <c r="E19" s="12" t="n">
        <f aca="false">Revenue!H19-IF(A19=1,0,Revenue!H18)</f>
        <v>0</v>
      </c>
      <c r="F19" s="12" t="n">
        <v>0</v>
      </c>
      <c r="G19" s="12" t="n">
        <f aca="false">B19+C19+D19+E19+F19</f>
        <v>12168438.2910495</v>
      </c>
    </row>
    <row r="20" customFormat="false" ht="15" hidden="false" customHeight="true" outlineLevel="0" collapsed="false">
      <c r="A20" s="1" t="n">
        <v>17</v>
      </c>
      <c r="B20" s="12" t="n">
        <f aca="false">G19</f>
        <v>12168438.2910495</v>
      </c>
      <c r="C20" s="17" t="n">
        <v>0</v>
      </c>
      <c r="D20" s="16" t="n">
        <f aca="false">'Operating Expenses'!J20</f>
        <v>-1415980.03577382</v>
      </c>
      <c r="E20" s="12" t="n">
        <f aca="false">Revenue!H20-IF(A20=1,0,Revenue!H19)</f>
        <v>0</v>
      </c>
      <c r="F20" s="12" t="n">
        <v>0</v>
      </c>
      <c r="G20" s="12" t="n">
        <f aca="false">B20+C20+D20+E20+F20</f>
        <v>10752458.2552756</v>
      </c>
    </row>
    <row r="21" customFormat="false" ht="15" hidden="false" customHeight="true" outlineLevel="0" collapsed="false">
      <c r="A21" s="1" t="n">
        <v>18</v>
      </c>
      <c r="B21" s="12" t="n">
        <f aca="false">G20</f>
        <v>10752458.2552756</v>
      </c>
      <c r="C21" s="17" t="n">
        <v>0</v>
      </c>
      <c r="D21" s="16" t="n">
        <f aca="false">'Operating Expenses'!J21</f>
        <v>-1106559.42567746</v>
      </c>
      <c r="E21" s="12" t="n">
        <f aca="false">Revenue!H21-IF(A21=1,0,Revenue!H20)</f>
        <v>0</v>
      </c>
      <c r="F21" s="12" t="n">
        <v>0</v>
      </c>
      <c r="G21" s="12" t="n">
        <f aca="false">B21+C21+D21+E21+F21</f>
        <v>9645898.82959818</v>
      </c>
    </row>
    <row r="22" customFormat="false" ht="15" hidden="false" customHeight="true" outlineLevel="0" collapsed="false">
      <c r="A22" s="1" t="n">
        <v>19</v>
      </c>
      <c r="B22" s="12" t="n">
        <f aca="false">G21</f>
        <v>9645898.82959818</v>
      </c>
      <c r="C22" s="17" t="n">
        <v>33000000</v>
      </c>
      <c r="D22" s="16" t="n">
        <f aca="false">'Operating Expenses'!J22</f>
        <v>-2431894.50949938</v>
      </c>
      <c r="E22" s="12" t="n">
        <f aca="false">Revenue!H22-IF(A22=1,0,Revenue!H21)</f>
        <v>0</v>
      </c>
      <c r="F22" s="12" t="n">
        <v>0</v>
      </c>
      <c r="G22" s="12" t="n">
        <f aca="false">B22+C22+D22+E22+F22</f>
        <v>40214004.3200988</v>
      </c>
    </row>
    <row r="23" customFormat="false" ht="15" hidden="false" customHeight="true" outlineLevel="0" collapsed="false">
      <c r="A23" s="1" t="n">
        <v>20</v>
      </c>
      <c r="B23" s="12" t="n">
        <f aca="false">G22</f>
        <v>40214004.3200988</v>
      </c>
      <c r="C23" s="17" t="n">
        <v>0</v>
      </c>
      <c r="D23" s="16" t="n">
        <f aca="false">'Operating Expenses'!J23</f>
        <v>-2152595.07921521</v>
      </c>
      <c r="E23" s="12" t="n">
        <f aca="false">Revenue!H23-IF(A23=1,0,Revenue!H22)</f>
        <v>0</v>
      </c>
      <c r="F23" s="12" t="n">
        <v>-150000</v>
      </c>
      <c r="G23" s="12" t="n">
        <f aca="false">B23+C23+D23+E23+F23</f>
        <v>37911409.2408836</v>
      </c>
    </row>
    <row r="24" customFormat="false" ht="15" hidden="false" customHeight="true" outlineLevel="0" collapsed="false">
      <c r="A24" s="1" t="n">
        <v>21</v>
      </c>
      <c r="B24" s="12" t="n">
        <f aca="false">G23</f>
        <v>37911409.2408836</v>
      </c>
      <c r="C24" s="17" t="n">
        <v>0</v>
      </c>
      <c r="D24" s="16" t="n">
        <f aca="false">'Operating Expenses'!J24</f>
        <v>-1886660.77614956</v>
      </c>
      <c r="E24" s="12" t="n">
        <f aca="false">Revenue!H24-IF(A24=1,0,Revenue!H23)</f>
        <v>0</v>
      </c>
      <c r="F24" s="12" t="n">
        <v>0</v>
      </c>
      <c r="G24" s="12" t="n">
        <f aca="false">B24+C24+D24+E24+F24</f>
        <v>36024748.464734</v>
      </c>
    </row>
    <row r="25" customFormat="false" ht="15" hidden="false" customHeight="true" outlineLevel="0" collapsed="false">
      <c r="A25" s="1" t="n">
        <v>22</v>
      </c>
      <c r="B25" s="12" t="n">
        <f aca="false">G24</f>
        <v>36024748.464734</v>
      </c>
      <c r="C25" s="17" t="n">
        <v>0</v>
      </c>
      <c r="D25" s="16" t="n">
        <f aca="false">'Operating Expenses'!J25</f>
        <v>-1633073.74542427</v>
      </c>
      <c r="E25" s="12" t="n">
        <f aca="false">Revenue!H25-IF(A25=1,0,Revenue!H24)</f>
        <v>0</v>
      </c>
      <c r="F25" s="12" t="n">
        <v>0</v>
      </c>
      <c r="G25" s="12" t="n">
        <f aca="false">B25+C25+D25+E25+F25</f>
        <v>34391674.7193098</v>
      </c>
    </row>
    <row r="26" customFormat="false" ht="15" hidden="false" customHeight="true" outlineLevel="0" collapsed="false">
      <c r="A26" s="1" t="n">
        <v>23</v>
      </c>
      <c r="B26" s="12" t="n">
        <f aca="false">G25</f>
        <v>34391674.7193098</v>
      </c>
      <c r="C26" s="17" t="n">
        <v>0</v>
      </c>
      <c r="D26" s="16" t="n">
        <f aca="false">'Operating Expenses'!J26</f>
        <v>-1390891.91728097</v>
      </c>
      <c r="E26" s="12" t="n">
        <f aca="false">Revenue!H26-IF(A26=1,0,Revenue!H25)</f>
        <v>0</v>
      </c>
      <c r="F26" s="12" t="n">
        <v>0</v>
      </c>
      <c r="G26" s="12" t="n">
        <f aca="false">B26+C26+D26+E26+F26</f>
        <v>33000782.8020288</v>
      </c>
    </row>
    <row r="27" customFormat="false" ht="15" hidden="false" customHeight="true" outlineLevel="0" collapsed="false">
      <c r="A27" s="1" t="n">
        <v>24</v>
      </c>
      <c r="B27" s="12" t="n">
        <f aca="false">G26</f>
        <v>33000782.8020288</v>
      </c>
      <c r="C27" s="17" t="n">
        <v>0</v>
      </c>
      <c r="D27" s="16" t="n">
        <f aca="false">'Operating Expenses'!J27</f>
        <v>-1159242.85922609</v>
      </c>
      <c r="E27" s="12" t="n">
        <f aca="false">Revenue!H27-IF(A27=1,0,Revenue!H26)</f>
        <v>0</v>
      </c>
      <c r="F27" s="12" t="n">
        <v>0</v>
      </c>
      <c r="G27" s="12" t="n">
        <f aca="false">B27+C27+D27+E27+F27</f>
        <v>31841539.9428027</v>
      </c>
    </row>
    <row r="28" customFormat="false" ht="15" hidden="false" customHeight="true" outlineLevel="0" collapsed="false">
      <c r="A28" s="1" t="n">
        <v>25</v>
      </c>
      <c r="B28" s="12" t="n">
        <f aca="false">G27</f>
        <v>31841539.9428027</v>
      </c>
      <c r="C28" s="17" t="n">
        <v>0</v>
      </c>
      <c r="D28" s="16" t="n">
        <f aca="false">'Operating Expenses'!J28</f>
        <v>-1831795.48148723</v>
      </c>
      <c r="E28" s="12" t="n">
        <f aca="false">Revenue!H28-IF(A28=1,0,Revenue!H27)</f>
        <v>836733.333333334</v>
      </c>
      <c r="F28" s="12" t="n">
        <v>0</v>
      </c>
      <c r="G28" s="12" t="n">
        <f aca="false">B28+C28+D28+E28+F28</f>
        <v>30846477.7946488</v>
      </c>
    </row>
    <row r="29" customFormat="false" ht="15" hidden="false" customHeight="true" outlineLevel="0" collapsed="false">
      <c r="A29" s="1" t="n">
        <v>26</v>
      </c>
      <c r="B29" s="12" t="n">
        <f aca="false">G28</f>
        <v>30846477.7946488</v>
      </c>
      <c r="C29" s="17" t="n">
        <v>0</v>
      </c>
      <c r="D29" s="16" t="n">
        <f aca="false">'Operating Expenses'!J29</f>
        <v>-1413392.9176424</v>
      </c>
      <c r="E29" s="12" t="n">
        <f aca="false">Revenue!H29-IF(A29=1,0,Revenue!H28)</f>
        <v>0</v>
      </c>
      <c r="F29" s="12" t="n">
        <v>0</v>
      </c>
      <c r="G29" s="12" t="n">
        <f aca="false">B29+C29+D29+E29+F29</f>
        <v>29433084.8770064</v>
      </c>
    </row>
    <row r="30" customFormat="false" ht="15" hidden="false" customHeight="true" outlineLevel="0" collapsed="false">
      <c r="A30" s="1" t="n">
        <v>27</v>
      </c>
      <c r="B30" s="12" t="n">
        <f aca="false">G29</f>
        <v>29433084.8770064</v>
      </c>
      <c r="C30" s="17" t="n">
        <v>0</v>
      </c>
      <c r="D30" s="16" t="n">
        <f aca="false">'Operating Expenses'!J30</f>
        <v>-1014055.9617181</v>
      </c>
      <c r="E30" s="12" t="n">
        <f aca="false">Revenue!H30-IF(A30=1,0,Revenue!H29)</f>
        <v>0</v>
      </c>
      <c r="F30" s="12" t="n">
        <v>0</v>
      </c>
      <c r="G30" s="12" t="n">
        <f aca="false">B30+C30+D30+E30+F30</f>
        <v>28419028.9152883</v>
      </c>
    </row>
    <row r="31" customFormat="false" ht="15" hidden="false" customHeight="true" outlineLevel="0" collapsed="false">
      <c r="A31" s="1" t="n">
        <v>28</v>
      </c>
      <c r="B31" s="12" t="n">
        <f aca="false">G30</f>
        <v>28419028.9152883</v>
      </c>
      <c r="C31" s="17" t="n">
        <v>0</v>
      </c>
      <c r="D31" s="16" t="n">
        <f aca="false">'Operating Expenses'!J31</f>
        <v>-632369.849664673</v>
      </c>
      <c r="E31" s="12" t="n">
        <f aca="false">Revenue!H31-IF(A31=1,0,Revenue!H30)</f>
        <v>0</v>
      </c>
      <c r="F31" s="12" t="n">
        <v>0</v>
      </c>
      <c r="G31" s="12" t="n">
        <f aca="false">B31+C31+D31+E31+F31</f>
        <v>27786659.0656236</v>
      </c>
    </row>
    <row r="32" customFormat="false" ht="15" hidden="false" customHeight="true" outlineLevel="0" collapsed="false">
      <c r="A32" s="1" t="n">
        <v>29</v>
      </c>
      <c r="B32" s="12" t="n">
        <f aca="false">G31</f>
        <v>27786659.0656236</v>
      </c>
      <c r="C32" s="17" t="n">
        <v>0</v>
      </c>
      <c r="D32" s="16" t="n">
        <f aca="false">'Operating Expenses'!J32</f>
        <v>-267021.643136838</v>
      </c>
      <c r="E32" s="12" t="n">
        <f aca="false">Revenue!H32-IF(A32=1,0,Revenue!H31)</f>
        <v>0</v>
      </c>
      <c r="F32" s="12" t="n">
        <v>0</v>
      </c>
      <c r="G32" s="12" t="n">
        <f aca="false">B32+C32+D32+E32+F32</f>
        <v>27519637.4224868</v>
      </c>
    </row>
    <row r="33" customFormat="false" ht="15" hidden="false" customHeight="true" outlineLevel="0" collapsed="false">
      <c r="A33" s="1" t="n">
        <v>30</v>
      </c>
      <c r="B33" s="12" t="n">
        <f aca="false">G32</f>
        <v>27519637.4224868</v>
      </c>
      <c r="C33" s="17" t="n">
        <v>0</v>
      </c>
      <c r="D33" s="16" t="n">
        <f aca="false">'Operating Expenses'!J33</f>
        <v>83207.8196512014</v>
      </c>
      <c r="E33" s="12" t="n">
        <f aca="false">Revenue!H33-IF(A33=1,0,Revenue!H32)</f>
        <v>0</v>
      </c>
      <c r="F33" s="12" t="n">
        <v>0</v>
      </c>
      <c r="G33" s="12" t="n">
        <f aca="false">B33+C33+D33+E33+F33</f>
        <v>27602845.242138</v>
      </c>
    </row>
    <row r="34" customFormat="false" ht="15" hidden="false" customHeight="true" outlineLevel="0" collapsed="false">
      <c r="A34" s="1" t="n">
        <v>31</v>
      </c>
      <c r="B34" s="12" t="n">
        <f aca="false">G33</f>
        <v>27602845.242138</v>
      </c>
      <c r="C34" s="17" t="n">
        <v>0</v>
      </c>
      <c r="D34" s="16" t="n">
        <f aca="false">'Operating Expenses'!J34</f>
        <v>419451.309925657</v>
      </c>
      <c r="E34" s="12" t="n">
        <f aca="false">Revenue!H34-IF(A34=1,0,Revenue!H33)</f>
        <v>0</v>
      </c>
      <c r="F34" s="12" t="n">
        <v>0</v>
      </c>
      <c r="G34" s="12" t="n">
        <f aca="false">B34+C34+D34+E34+F34</f>
        <v>28022296.5520637</v>
      </c>
    </row>
    <row r="35" customFormat="false" ht="15" hidden="false" customHeight="true" outlineLevel="0" collapsed="false">
      <c r="A35" s="1" t="n">
        <v>32</v>
      </c>
      <c r="B35" s="12" t="n">
        <f aca="false">G34</f>
        <v>28022296.5520637</v>
      </c>
      <c r="C35" s="17" t="n">
        <v>0</v>
      </c>
      <c r="D35" s="16" t="n">
        <f aca="false">'Operating Expenses'!J35</f>
        <v>742761.988686038</v>
      </c>
      <c r="E35" s="12" t="n">
        <f aca="false">Revenue!H35-IF(A35=1,0,Revenue!H34)</f>
        <v>0</v>
      </c>
      <c r="F35" s="12" t="n">
        <v>0</v>
      </c>
      <c r="G35" s="12" t="n">
        <f aca="false">B35+C35+D35+E35+F35</f>
        <v>28765058.5407497</v>
      </c>
    </row>
    <row r="36" customFormat="false" ht="15" hidden="false" customHeight="true" outlineLevel="0" collapsed="false">
      <c r="A36" s="1" t="n">
        <v>33</v>
      </c>
      <c r="B36" s="12" t="n">
        <f aca="false">G35</f>
        <v>28765058.5407497</v>
      </c>
      <c r="C36" s="17" t="n">
        <v>0</v>
      </c>
      <c r="D36" s="16" t="n">
        <f aca="false">'Operating Expenses'!J36</f>
        <v>1051932.5559184</v>
      </c>
      <c r="E36" s="12" t="n">
        <f aca="false">Revenue!H36-IF(A36=1,0,Revenue!H35)</f>
        <v>0</v>
      </c>
      <c r="F36" s="12" t="n">
        <v>0</v>
      </c>
      <c r="G36" s="12" t="n">
        <f aca="false">B36+C36+D36+E36+F36</f>
        <v>29816991.0966681</v>
      </c>
    </row>
    <row r="37" customFormat="false" ht="15" hidden="false" customHeight="true" outlineLevel="0" collapsed="false">
      <c r="A37" s="1" t="n">
        <v>34</v>
      </c>
      <c r="B37" s="12" t="n">
        <f aca="false">G36</f>
        <v>29816991.0966681</v>
      </c>
      <c r="C37" s="17" t="n">
        <v>0</v>
      </c>
      <c r="D37" s="16" t="n">
        <f aca="false">'Operating Expenses'!J37</f>
        <v>1345644.59478915</v>
      </c>
      <c r="E37" s="12" t="n">
        <f aca="false">Revenue!H37-IF(A37=1,0,Revenue!H36)</f>
        <v>0</v>
      </c>
      <c r="F37" s="12" t="n">
        <v>0</v>
      </c>
      <c r="G37" s="12" t="n">
        <f aca="false">B37+C37+D37+E37+F37</f>
        <v>31162635.6914572</v>
      </c>
    </row>
    <row r="38" customFormat="false" ht="15" hidden="false" customHeight="true" outlineLevel="0" collapsed="false">
      <c r="A38" s="1" t="n">
        <v>35</v>
      </c>
      <c r="B38" s="12" t="n">
        <f aca="false">G37</f>
        <v>31162635.6914572</v>
      </c>
      <c r="C38" s="17" t="n">
        <v>0</v>
      </c>
      <c r="D38" s="16" t="n">
        <f aca="false">'Operating Expenses'!J38</f>
        <v>1624671.03171636</v>
      </c>
      <c r="E38" s="12" t="n">
        <f aca="false">Revenue!H38-IF(A38=1,0,Revenue!H37)</f>
        <v>0</v>
      </c>
      <c r="F38" s="12" t="n">
        <v>0</v>
      </c>
      <c r="G38" s="12" t="n">
        <f aca="false">B38+C38+D38+E38+F38</f>
        <v>32787306.7231736</v>
      </c>
    </row>
    <row r="39" customFormat="false" ht="15" hidden="false" customHeight="true" outlineLevel="0" collapsed="false">
      <c r="A39" s="1" t="n">
        <v>36</v>
      </c>
      <c r="B39" s="12" t="n">
        <f aca="false">G38</f>
        <v>32787306.7231736</v>
      </c>
      <c r="C39" s="17" t="n">
        <v>0</v>
      </c>
      <c r="D39" s="16" t="n">
        <f aca="false">'Operating Expenses'!J39</f>
        <v>1889746.14679721</v>
      </c>
      <c r="E39" s="12" t="n">
        <f aca="false">Revenue!H39-IF(A39=1,0,Revenue!H38)</f>
        <v>0</v>
      </c>
      <c r="F39" s="12" t="n">
        <v>0</v>
      </c>
      <c r="G39" s="12" t="n">
        <f aca="false">B39+C39+D39+E39+F39</f>
        <v>34677052.8699708</v>
      </c>
    </row>
    <row r="41" customFormat="false" ht="15" hidden="false" customHeight="true" outlineLevel="0" collapsed="false">
      <c r="A41" s="10" t="s">
        <v>236</v>
      </c>
    </row>
    <row r="42" customFormat="false" ht="15" hidden="false" customHeight="true" outlineLevel="0" collapsed="false">
      <c r="A42" s="10" t="s">
        <v>237</v>
      </c>
    </row>
    <row r="44" customFormat="false" ht="15" hidden="false" customHeight="true" outlineLevel="0" collapsed="false">
      <c r="A44" s="1" t="s">
        <v>238</v>
      </c>
      <c r="B44" s="15" t="n">
        <f aca="false">MIN(G4:G39)</f>
        <v>3142309.78096976</v>
      </c>
      <c r="C44" s="1" t="s">
        <v>239</v>
      </c>
      <c r="D44" s="15" t="n">
        <f aca="false">B4+SUM(C4:C39)</f>
        <v>78500000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10"/>
  </cols>
  <sheetData>
    <row r="1" customFormat="false" ht="15.75" hidden="false" customHeight="true" outlineLevel="0" collapsed="false">
      <c r="A1" s="2" t="s">
        <v>240</v>
      </c>
    </row>
    <row r="4" customFormat="false" ht="15" hidden="false" customHeight="true" outlineLevel="0" collapsed="false">
      <c r="A4" s="19" t="s">
        <v>241</v>
      </c>
      <c r="B4" s="12" t="n">
        <f aca="false">Assumptions!B6+Assumptions!B7</f>
        <v>880</v>
      </c>
    </row>
    <row r="5" customFormat="false" ht="15" hidden="false" customHeight="true" outlineLevel="0" collapsed="false">
      <c r="A5" s="19" t="s">
        <v>147</v>
      </c>
      <c r="B5" s="12" t="n">
        <f aca="false">-Assumptions!B16</f>
        <v>-70</v>
      </c>
    </row>
    <row r="6" customFormat="false" ht="15" hidden="false" customHeight="true" outlineLevel="0" collapsed="false">
      <c r="A6" s="19" t="s">
        <v>148</v>
      </c>
      <c r="B6" s="12" t="n">
        <f aca="false">-Assumptions!B17</f>
        <v>-45</v>
      </c>
    </row>
    <row r="7" customFormat="false" ht="15" hidden="false" customHeight="true" outlineLevel="0" collapsed="false">
      <c r="A7" s="19" t="s">
        <v>149</v>
      </c>
      <c r="B7" s="12" t="n">
        <f aca="false">-Assumptions!B18</f>
        <v>-25</v>
      </c>
    </row>
    <row r="8" customFormat="false" ht="15" hidden="false" customHeight="true" outlineLevel="0" collapsed="false">
      <c r="A8" s="19" t="s">
        <v>150</v>
      </c>
      <c r="B8" s="12" t="n">
        <f aca="false">-Assumptions!B20</f>
        <v>-15</v>
      </c>
    </row>
    <row r="9" customFormat="false" ht="15" hidden="false" customHeight="true" outlineLevel="0" collapsed="false">
      <c r="A9" s="19" t="s">
        <v>151</v>
      </c>
      <c r="B9" s="12" t="n">
        <f aca="false">-(Assumptions!B6+Assumptions!B7)*Assumptions!B19</f>
        <v>-24.64</v>
      </c>
    </row>
    <row r="10" customFormat="false" ht="15" hidden="false" customHeight="true" outlineLevel="0" collapsed="false">
      <c r="A10" s="19" t="s">
        <v>138</v>
      </c>
      <c r="B10" s="12" t="n">
        <f aca="false">-(Assumptions!B6+Assumptions!B7)*Assumptions!B15</f>
        <v>-22</v>
      </c>
    </row>
    <row r="11" customFormat="false" ht="15" hidden="false" customHeight="true" outlineLevel="0" collapsed="false">
      <c r="A11" s="14" t="s">
        <v>242</v>
      </c>
      <c r="B11" s="12" t="n">
        <f aca="false">SUM(B4:B10)</f>
        <v>678.36</v>
      </c>
    </row>
    <row r="12" customFormat="false" ht="15" hidden="false" customHeight="true" outlineLevel="0" collapsed="false">
      <c r="A12" s="19" t="s">
        <v>243</v>
      </c>
      <c r="B12" s="18" t="n">
        <f aca="false">B11/B4</f>
        <v>0.770863636363636</v>
      </c>
    </row>
    <row r="13" customFormat="false" ht="15" hidden="false" customHeight="true" outlineLevel="0" collapsed="false">
      <c r="A13" s="19" t="s">
        <v>244</v>
      </c>
      <c r="B13" s="20" t="n">
        <f aca="false">1/Assumptions!B8</f>
        <v>16.6666666666667</v>
      </c>
    </row>
    <row r="14" customFormat="false" ht="15" hidden="false" customHeight="true" outlineLevel="0" collapsed="false">
      <c r="A14" s="14" t="s">
        <v>245</v>
      </c>
      <c r="B14" s="12" t="n">
        <f aca="false">B11/Assumptions!B8</f>
        <v>11306</v>
      </c>
    </row>
    <row r="15" customFormat="false" ht="15" hidden="false" customHeight="true" outlineLevel="0" collapsed="false">
      <c r="A15" s="19" t="s">
        <v>246</v>
      </c>
      <c r="B15" s="12" t="n">
        <f aca="false">Assumptions!B11</f>
        <v>3600</v>
      </c>
    </row>
    <row r="16" customFormat="false" ht="15" hidden="false" customHeight="true" outlineLevel="0" collapsed="false">
      <c r="A16" s="14" t="s">
        <v>247</v>
      </c>
      <c r="B16" s="21" t="n">
        <f aca="false">B14/B15</f>
        <v>3.14055555555556</v>
      </c>
    </row>
    <row r="17" customFormat="false" ht="15" hidden="false" customHeight="true" outlineLevel="0" collapsed="false">
      <c r="A17" s="14" t="s">
        <v>248</v>
      </c>
      <c r="B17" s="20" t="n">
        <f aca="false">B15/B11</f>
        <v>5.3069166814081</v>
      </c>
    </row>
    <row r="19" customFormat="false" ht="15" hidden="false" customHeight="true" outlineLevel="0" collapsed="false">
      <c r="A19" s="14" t="s">
        <v>249</v>
      </c>
    </row>
    <row r="20" customFormat="false" ht="15" hidden="false" customHeight="true" outlineLevel="0" collapsed="false">
      <c r="A20" s="11" t="s">
        <v>55</v>
      </c>
      <c r="B20" s="11" t="s">
        <v>250</v>
      </c>
      <c r="C20" s="11" t="s">
        <v>251</v>
      </c>
      <c r="D20" s="11" t="s">
        <v>252</v>
      </c>
      <c r="E20" s="11" t="s">
        <v>253</v>
      </c>
    </row>
    <row r="21" customFormat="false" ht="15" hidden="false" customHeight="true" outlineLevel="0" collapsed="false">
      <c r="A21" s="12" t="s">
        <v>76</v>
      </c>
      <c r="B21" s="12" t="n">
        <f aca="false">Pricing!H5</f>
        <v>1795.14</v>
      </c>
      <c r="C21" s="12" t="n">
        <f aca="false">-(Assumptions!B16+Assumptions!B17*3+Assumptions!B18+Assumptions!B20)-Pricing!H5*(Assumptions!B19+Assumptions!B15)</f>
        <v>-340.14242</v>
      </c>
      <c r="D21" s="12" t="n">
        <f aca="false">B21+C21</f>
        <v>1454.99758</v>
      </c>
      <c r="E21" s="18" t="n">
        <f aca="false">D21/B21</f>
        <v>0.810520393952561</v>
      </c>
    </row>
    <row r="22" customFormat="false" ht="15" hidden="false" customHeight="true" outlineLevel="0" collapsed="false">
      <c r="A22" s="12" t="s">
        <v>72</v>
      </c>
      <c r="B22" s="12" t="n">
        <f aca="false">Pricing!H4</f>
        <v>913.14</v>
      </c>
      <c r="C22" s="12" t="n">
        <f aca="false">-(Assumptions!B16+Assumptions!B18+Assumptions!B20)-Pricing!H4*(Assumptions!B19+Assumptions!B15)</f>
        <v>-158.39642</v>
      </c>
      <c r="D22" s="12" t="n">
        <f aca="false">B22+C22</f>
        <v>754.74358</v>
      </c>
      <c r="E22" s="18" t="n">
        <f aca="false">D22/B22</f>
        <v>0.826536544231991</v>
      </c>
    </row>
    <row r="23" customFormat="false" ht="15" hidden="false" customHeight="true" outlineLevel="0" collapsed="false">
      <c r="A23" s="12" t="s">
        <v>84</v>
      </c>
      <c r="B23" s="12" t="n">
        <f aca="false">Pricing!H7</f>
        <v>677.584745762712</v>
      </c>
      <c r="C23" s="12" t="n">
        <f aca="false">-(Assumptions!B16+Assumptions!B17*1.5+Assumptions!B18+Assumptions!B20)-Pricing!H7*(Assumptions!B19+Assumptions!B15)</f>
        <v>-213.411991525424</v>
      </c>
      <c r="D23" s="12" t="n">
        <f aca="false">B23+C23</f>
        <v>464.172754237288</v>
      </c>
      <c r="E23" s="18" t="n">
        <f aca="false">D23/B23</f>
        <v>0.685040147583016</v>
      </c>
    </row>
    <row r="24" customFormat="false" ht="15" hidden="false" customHeight="true" outlineLevel="0" collapsed="false">
      <c r="A24" s="12" t="s">
        <v>80</v>
      </c>
      <c r="B24" s="12" t="n">
        <f aca="false">Pricing!H6</f>
        <v>338.601694915254</v>
      </c>
      <c r="C24" s="12" t="n">
        <f aca="false">-(Assumptions!B16+Assumptions!B18+Assumptions!B20)-Pricing!H6*(Assumptions!B19+Assumptions!B15)</f>
        <v>-127.945889830508</v>
      </c>
      <c r="D24" s="12" t="n">
        <f aca="false">B24+C24</f>
        <v>210.655805084746</v>
      </c>
      <c r="E24" s="18" t="n">
        <f aca="false">D24/B24</f>
        <v>0.622134526342135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7" min="3" style="1" width="13"/>
  </cols>
  <sheetData>
    <row r="1" customFormat="false" ht="15.75" hidden="false" customHeight="true" outlineLevel="0" collapsed="false">
      <c r="A1" s="2" t="s">
        <v>254</v>
      </c>
    </row>
    <row r="3" customFormat="false" ht="15" hidden="false" customHeight="true" outlineLevel="0" collapsed="false">
      <c r="A3" s="11" t="s">
        <v>255</v>
      </c>
      <c r="B3" s="11" t="s">
        <v>256</v>
      </c>
      <c r="C3" s="11" t="s">
        <v>257</v>
      </c>
      <c r="D3" s="11" t="s">
        <v>258</v>
      </c>
    </row>
    <row r="4" customFormat="false" ht="15" hidden="false" customHeight="true" outlineLevel="0" collapsed="false">
      <c r="A4" s="1" t="s">
        <v>259</v>
      </c>
      <c r="B4" s="18" t="n">
        <f aca="false">Assumptions!B9</f>
        <v>0.075</v>
      </c>
      <c r="C4" s="18" t="n">
        <f aca="false">Assumptions!B8</f>
        <v>0.06</v>
      </c>
      <c r="D4" s="18" t="n">
        <f aca="false">Assumptions!B10</f>
        <v>0.045</v>
      </c>
    </row>
    <row r="5" customFormat="false" ht="15" hidden="false" customHeight="true" outlineLevel="0" collapsed="false">
      <c r="A5" s="1" t="s">
        <v>260</v>
      </c>
      <c r="B5" s="12" t="n">
        <f aca="false">Assumptions!B12</f>
        <v>4500</v>
      </c>
      <c r="C5" s="12" t="n">
        <f aca="false">Assumptions!B11</f>
        <v>3600</v>
      </c>
      <c r="D5" s="12" t="n">
        <f aca="false">Assumptions!B13</f>
        <v>3000</v>
      </c>
    </row>
    <row r="6" customFormat="false" ht="15" hidden="false" customHeight="true" outlineLevel="0" collapsed="false">
      <c r="A6" s="1" t="s">
        <v>261</v>
      </c>
      <c r="B6" s="22" t="n">
        <v>0.8</v>
      </c>
      <c r="C6" s="22" t="n">
        <v>1</v>
      </c>
      <c r="D6" s="22" t="n">
        <v>1.3</v>
      </c>
    </row>
    <row r="7" customFormat="false" ht="15" hidden="false" customHeight="true" outlineLevel="0" collapsed="false">
      <c r="A7" s="1" t="s">
        <v>262</v>
      </c>
      <c r="B7" s="17" t="n">
        <v>0.92</v>
      </c>
      <c r="C7" s="17" t="n">
        <v>1</v>
      </c>
      <c r="D7" s="17" t="n">
        <v>1.08</v>
      </c>
    </row>
    <row r="9" customFormat="false" ht="26.25" hidden="false" customHeight="true" outlineLevel="0" collapsed="false">
      <c r="A9" s="11" t="s">
        <v>92</v>
      </c>
      <c r="B9" s="11" t="s">
        <v>263</v>
      </c>
      <c r="C9" s="11" t="s">
        <v>264</v>
      </c>
      <c r="D9" s="11" t="s">
        <v>265</v>
      </c>
      <c r="E9" s="11" t="s">
        <v>266</v>
      </c>
      <c r="F9" s="11" t="s">
        <v>267</v>
      </c>
      <c r="G9" s="11" t="s">
        <v>268</v>
      </c>
    </row>
    <row r="10" customFormat="false" ht="15" hidden="false" customHeight="true" outlineLevel="0" collapsed="false">
      <c r="A10" s="1" t="n">
        <v>1</v>
      </c>
      <c r="B10" s="12" t="n">
        <f aca="false">'Customer Growth'!B4*$B$6/$B$5*(1+Assumptions!$B$14)+IF(A10=4,Assumptions!$B$23,0)</f>
        <v>59.7333333333333</v>
      </c>
      <c r="C10" s="12" t="n">
        <f aca="false">B10</f>
        <v>59.7333333333333</v>
      </c>
      <c r="D10" s="12" t="n">
        <f aca="false">'Customer Growth'!G4</f>
        <v>93.3333333333333</v>
      </c>
      <c r="E10" s="12" t="n">
        <f aca="false">'Customer Growth'!K4</f>
        <v>93.3333333333333</v>
      </c>
      <c r="F10" s="12" t="n">
        <f aca="false">'Customer Growth'!B4*$D$6/$D$5*(1+Assumptions!$B$14)+IF(A10=4,Assumptions!$B$23,0)</f>
        <v>145.6</v>
      </c>
      <c r="G10" s="12" t="n">
        <f aca="false">F10</f>
        <v>145.6</v>
      </c>
    </row>
    <row r="11" customFormat="false" ht="15" hidden="false" customHeight="true" outlineLevel="0" collapsed="false">
      <c r="A11" s="1" t="n">
        <v>2</v>
      </c>
      <c r="B11" s="12" t="n">
        <f aca="false">'Customer Growth'!B5*$B$6/$B$5*(1+Assumptions!$B$14)+IF(A11=4,Assumptions!$B$23,0)</f>
        <v>59.7333333333333</v>
      </c>
      <c r="C11" s="12" t="n">
        <f aca="false">C10*(1-$B$4)+B11</f>
        <v>114.986666666667</v>
      </c>
      <c r="D11" s="12" t="n">
        <f aca="false">'Customer Growth'!G5</f>
        <v>93.3333333333333</v>
      </c>
      <c r="E11" s="12" t="n">
        <f aca="false">'Customer Growth'!K5</f>
        <v>181.066666666667</v>
      </c>
      <c r="F11" s="12" t="n">
        <f aca="false">'Customer Growth'!B5*$D$6/$D$5*(1+Assumptions!$B$14)+IF(A11=4,Assumptions!$B$23,0)</f>
        <v>145.6</v>
      </c>
      <c r="G11" s="12" t="n">
        <f aca="false">G10*(1-$D$4)+F11</f>
        <v>284.648</v>
      </c>
    </row>
    <row r="12" customFormat="false" ht="15" hidden="false" customHeight="true" outlineLevel="0" collapsed="false">
      <c r="A12" s="1" t="n">
        <v>3</v>
      </c>
      <c r="B12" s="12" t="n">
        <f aca="false">'Customer Growth'!B6*$B$6/$B$5*(1+Assumptions!$B$14)+IF(A12=4,Assumptions!$B$23,0)</f>
        <v>59.7333333333333</v>
      </c>
      <c r="C12" s="12" t="n">
        <f aca="false">C11*(1-$B$4)+B12</f>
        <v>166.096</v>
      </c>
      <c r="D12" s="12" t="n">
        <f aca="false">'Customer Growth'!G6</f>
        <v>93.3333333333333</v>
      </c>
      <c r="E12" s="12" t="n">
        <f aca="false">'Customer Growth'!K6</f>
        <v>263.536</v>
      </c>
      <c r="F12" s="12" t="n">
        <f aca="false">'Customer Growth'!B6*$D$6/$D$5*(1+Assumptions!$B$14)+IF(A12=4,Assumptions!$B$23,0)</f>
        <v>145.6</v>
      </c>
      <c r="G12" s="12" t="n">
        <f aca="false">G11*(1-$D$4)+F12</f>
        <v>417.43884</v>
      </c>
    </row>
    <row r="13" customFormat="false" ht="15" hidden="false" customHeight="true" outlineLevel="0" collapsed="false">
      <c r="A13" s="1" t="n">
        <v>4</v>
      </c>
      <c r="B13" s="12" t="n">
        <f aca="false">'Customer Growth'!B7*$B$6/$B$5*(1+Assumptions!$B$14)+IF(A13=4,Assumptions!$B$23,0)</f>
        <v>459.288888888889</v>
      </c>
      <c r="C13" s="12" t="n">
        <f aca="false">C12*(1-$B$4)+B13</f>
        <v>612.927688888889</v>
      </c>
      <c r="D13" s="12" t="n">
        <f aca="false">'Customer Growth'!G7</f>
        <v>548.888888888889</v>
      </c>
      <c r="E13" s="12" t="n">
        <f aca="false">'Customer Growth'!K7</f>
        <v>796.612728888889</v>
      </c>
      <c r="F13" s="12" t="n">
        <f aca="false">'Customer Growth'!B7*$D$6/$D$5*(1+Assumptions!$B$14)+IF(A13=4,Assumptions!$B$23,0)</f>
        <v>688.266666666667</v>
      </c>
      <c r="G13" s="12" t="n">
        <f aca="false">G12*(1-$D$4)+F13</f>
        <v>1086.92075886667</v>
      </c>
    </row>
    <row r="14" customFormat="false" ht="15" hidden="false" customHeight="true" outlineLevel="0" collapsed="false">
      <c r="A14" s="1" t="n">
        <v>5</v>
      </c>
      <c r="B14" s="12" t="n">
        <f aca="false">'Customer Growth'!B8*$B$6/$B$5*(1+Assumptions!$B$14)+IF(A14=4,Assumptions!$B$23,0)</f>
        <v>159.288888888889</v>
      </c>
      <c r="C14" s="12" t="n">
        <f aca="false">C13*(1-$B$4)+B14</f>
        <v>726.247001111111</v>
      </c>
      <c r="D14" s="12" t="n">
        <f aca="false">'Customer Growth'!G8</f>
        <v>248.888888888889</v>
      </c>
      <c r="E14" s="12" t="n">
        <f aca="false">'Customer Growth'!K8</f>
        <v>997.704854044445</v>
      </c>
      <c r="F14" s="12" t="n">
        <f aca="false">'Customer Growth'!B8*$D$6/$D$5*(1+Assumptions!$B$14)+IF(A14=4,Assumptions!$B$23,0)</f>
        <v>388.266666666667</v>
      </c>
      <c r="G14" s="12" t="n">
        <f aca="false">G13*(1-$D$4)+F14</f>
        <v>1426.27599138433</v>
      </c>
    </row>
    <row r="15" customFormat="false" ht="15" hidden="false" customHeight="true" outlineLevel="0" collapsed="false">
      <c r="A15" s="1" t="n">
        <v>6</v>
      </c>
      <c r="B15" s="12" t="n">
        <f aca="false">'Customer Growth'!B9*$B$6/$B$5*(1+Assumptions!$B$14)+IF(A15=4,Assumptions!$B$23,0)</f>
        <v>159.288888888889</v>
      </c>
      <c r="C15" s="12" t="n">
        <f aca="false">C14*(1-$B$4)+B15</f>
        <v>831.067364916667</v>
      </c>
      <c r="D15" s="12" t="n">
        <f aca="false">'Customer Growth'!G9</f>
        <v>248.888888888889</v>
      </c>
      <c r="E15" s="12" t="n">
        <f aca="false">'Customer Growth'!K9</f>
        <v>1186.73145169067</v>
      </c>
      <c r="F15" s="12" t="n">
        <f aca="false">'Customer Growth'!B9*$D$6/$D$5*(1+Assumptions!$B$14)+IF(A15=4,Assumptions!$B$23,0)</f>
        <v>388.266666666667</v>
      </c>
      <c r="G15" s="12" t="n">
        <f aca="false">G14*(1-$D$4)+F15</f>
        <v>1750.36023843871</v>
      </c>
    </row>
    <row r="16" customFormat="false" ht="15" hidden="false" customHeight="true" outlineLevel="0" collapsed="false">
      <c r="A16" s="1" t="n">
        <v>7</v>
      </c>
      <c r="B16" s="12" t="n">
        <f aca="false">'Customer Growth'!B10*$B$6/$B$5*(1+Assumptions!$B$14)+IF(A16=4,Assumptions!$B$23,0)</f>
        <v>298.666666666667</v>
      </c>
      <c r="C16" s="12" t="n">
        <f aca="false">C15*(1-$B$4)+B16</f>
        <v>1067.40397921458</v>
      </c>
      <c r="D16" s="12" t="n">
        <f aca="false">'Customer Growth'!G10</f>
        <v>466.666666666667</v>
      </c>
      <c r="E16" s="12" t="n">
        <f aca="false">'Customer Growth'!K10</f>
        <v>1582.19423125589</v>
      </c>
      <c r="F16" s="12" t="n">
        <f aca="false">'Customer Growth'!B10*$D$6/$D$5*(1+Assumptions!$B$14)+IF(A16=4,Assumptions!$B$23,0)</f>
        <v>728</v>
      </c>
      <c r="G16" s="12" t="n">
        <f aca="false">G15*(1-$D$4)+F16</f>
        <v>2399.59402770896</v>
      </c>
    </row>
    <row r="17" customFormat="false" ht="15" hidden="false" customHeight="true" outlineLevel="0" collapsed="false">
      <c r="A17" s="1" t="n">
        <v>8</v>
      </c>
      <c r="B17" s="12" t="n">
        <f aca="false">'Customer Growth'!B11*$B$6/$B$5*(1+Assumptions!$B$14)+IF(A17=4,Assumptions!$B$23,0)</f>
        <v>298.666666666667</v>
      </c>
      <c r="C17" s="12" t="n">
        <f aca="false">C16*(1-$B$4)+B17</f>
        <v>1286.01534744016</v>
      </c>
      <c r="D17" s="12" t="n">
        <f aca="false">'Customer Growth'!G11</f>
        <v>466.666666666667</v>
      </c>
      <c r="E17" s="12" t="n">
        <f aca="false">'Customer Growth'!K11</f>
        <v>1953.92924404721</v>
      </c>
      <c r="F17" s="12" t="n">
        <f aca="false">'Customer Growth'!B11*$D$6/$D$5*(1+Assumptions!$B$14)+IF(A17=4,Assumptions!$B$23,0)</f>
        <v>728</v>
      </c>
      <c r="G17" s="12" t="n">
        <f aca="false">G16*(1-$D$4)+F17</f>
        <v>3019.61229646206</v>
      </c>
    </row>
    <row r="18" customFormat="false" ht="15" hidden="false" customHeight="true" outlineLevel="0" collapsed="false">
      <c r="A18" s="1" t="n">
        <v>9</v>
      </c>
      <c r="B18" s="12" t="n">
        <f aca="false">'Customer Growth'!B12*$B$6/$B$5*(1+Assumptions!$B$14)+IF(A18=4,Assumptions!$B$23,0)</f>
        <v>298.666666666667</v>
      </c>
      <c r="C18" s="12" t="n">
        <f aca="false">C17*(1-$B$4)+B18</f>
        <v>1488.23086304881</v>
      </c>
      <c r="D18" s="12" t="n">
        <f aca="false">'Customer Growth'!G12</f>
        <v>466.666666666667</v>
      </c>
      <c r="E18" s="12" t="n">
        <f aca="false">'Customer Growth'!K12</f>
        <v>2303.36015607104</v>
      </c>
      <c r="F18" s="12" t="n">
        <f aca="false">'Customer Growth'!B12*$D$6/$D$5*(1+Assumptions!$B$14)+IF(A18=4,Assumptions!$B$23,0)</f>
        <v>728</v>
      </c>
      <c r="G18" s="12" t="n">
        <f aca="false">G17*(1-$D$4)+F18</f>
        <v>3611.72974312127</v>
      </c>
    </row>
    <row r="19" customFormat="false" ht="15" hidden="false" customHeight="true" outlineLevel="0" collapsed="false">
      <c r="A19" s="1" t="n">
        <v>10</v>
      </c>
      <c r="B19" s="12" t="n">
        <f aca="false">'Customer Growth'!B13*$B$6/$B$5*(1+Assumptions!$B$14)+IF(A19=4,Assumptions!$B$23,0)</f>
        <v>298.666666666667</v>
      </c>
      <c r="C19" s="12" t="n">
        <f aca="false">C18*(1-$B$4)+B19</f>
        <v>1675.28021498682</v>
      </c>
      <c r="D19" s="12" t="n">
        <f aca="false">'Customer Growth'!G13</f>
        <v>466.666666666667</v>
      </c>
      <c r="E19" s="12" t="n">
        <f aca="false">'Customer Growth'!K13</f>
        <v>2631.82521337345</v>
      </c>
      <c r="F19" s="12" t="n">
        <f aca="false">'Customer Growth'!B13*$D$6/$D$5*(1+Assumptions!$B$14)+IF(A19=4,Assumptions!$B$23,0)</f>
        <v>728</v>
      </c>
      <c r="G19" s="12" t="n">
        <f aca="false">G18*(1-$D$4)+F19</f>
        <v>4177.20190468081</v>
      </c>
    </row>
    <row r="20" customFormat="false" ht="15" hidden="false" customHeight="true" outlineLevel="0" collapsed="false">
      <c r="A20" s="1" t="n">
        <v>11</v>
      </c>
      <c r="B20" s="12" t="n">
        <f aca="false">'Customer Growth'!B14*$B$6/$B$5*(1+Assumptions!$B$14)+IF(A20=4,Assumptions!$B$23,0)</f>
        <v>298.666666666667</v>
      </c>
      <c r="C20" s="12" t="n">
        <f aca="false">C19*(1-$B$4)+B20</f>
        <v>1848.30086552947</v>
      </c>
      <c r="D20" s="12" t="n">
        <f aca="false">'Customer Growth'!G14</f>
        <v>466.666666666667</v>
      </c>
      <c r="E20" s="12" t="n">
        <f aca="false">'Customer Growth'!K14</f>
        <v>2940.5823672377</v>
      </c>
      <c r="F20" s="12" t="n">
        <f aca="false">'Customer Growth'!B14*$D$6/$D$5*(1+Assumptions!$B$14)+IF(A20=4,Assumptions!$B$23,0)</f>
        <v>728</v>
      </c>
      <c r="G20" s="12" t="n">
        <f aca="false">G19*(1-$D$4)+F20</f>
        <v>4717.22781897017</v>
      </c>
    </row>
    <row r="21" customFormat="false" ht="15" hidden="false" customHeight="true" outlineLevel="0" collapsed="false">
      <c r="A21" s="1" t="n">
        <v>12</v>
      </c>
      <c r="B21" s="12" t="n">
        <f aca="false">'Customer Growth'!B15*$B$6/$B$5*(1+Assumptions!$B$14)+IF(A21=4,Assumptions!$B$23,0)</f>
        <v>298.666666666667</v>
      </c>
      <c r="C21" s="12" t="n">
        <f aca="false">C20*(1-$B$4)+B21</f>
        <v>2008.34496728143</v>
      </c>
      <c r="D21" s="12" t="n">
        <f aca="false">'Customer Growth'!G15</f>
        <v>466.666666666667</v>
      </c>
      <c r="E21" s="12" t="n">
        <f aca="false">'Customer Growth'!K15</f>
        <v>3230.81409187011</v>
      </c>
      <c r="F21" s="12" t="n">
        <f aca="false">'Customer Growth'!B15*$D$6/$D$5*(1+Assumptions!$B$14)+IF(A21=4,Assumptions!$B$23,0)</f>
        <v>728</v>
      </c>
      <c r="G21" s="12" t="n">
        <f aca="false">G20*(1-$D$4)+F21</f>
        <v>5232.95256711652</v>
      </c>
    </row>
    <row r="22" customFormat="false" ht="15" hidden="false" customHeight="true" outlineLevel="0" collapsed="false">
      <c r="A22" s="1" t="n">
        <v>13</v>
      </c>
      <c r="B22" s="12" t="n">
        <f aca="false">'Customer Growth'!B16*$B$6/$B$5*(1+Assumptions!$B$14)+IF(A22=4,Assumptions!$B$23,0)</f>
        <v>497.777777777778</v>
      </c>
      <c r="C22" s="12" t="n">
        <f aca="false">C21*(1-$B$4)+B22</f>
        <v>2355.4968725131</v>
      </c>
      <c r="D22" s="12" t="n">
        <f aca="false">'Customer Growth'!G16</f>
        <v>777.777777777778</v>
      </c>
      <c r="E22" s="12" t="n">
        <f aca="false">'Customer Growth'!K16</f>
        <v>3816.35843118162</v>
      </c>
      <c r="F22" s="12" t="n">
        <f aca="false">'Customer Growth'!B16*$D$6/$D$5*(1+Assumptions!$B$14)+IF(A22=4,Assumptions!$B$23,0)</f>
        <v>1213.33333333333</v>
      </c>
      <c r="G22" s="12" t="n">
        <f aca="false">G21*(1-$D$4)+F22</f>
        <v>6210.80303492961</v>
      </c>
    </row>
    <row r="23" customFormat="false" ht="15" hidden="false" customHeight="true" outlineLevel="0" collapsed="false">
      <c r="A23" s="1" t="n">
        <v>14</v>
      </c>
      <c r="B23" s="12" t="n">
        <f aca="false">'Customer Growth'!B17*$B$6/$B$5*(1+Assumptions!$B$14)+IF(A23=4,Assumptions!$B$23,0)</f>
        <v>497.777777777778</v>
      </c>
      <c r="C23" s="12" t="n">
        <f aca="false">C22*(1-$B$4)+B23</f>
        <v>2676.6123848524</v>
      </c>
      <c r="D23" s="12" t="n">
        <f aca="false">'Customer Growth'!G17</f>
        <v>777.777777777778</v>
      </c>
      <c r="E23" s="12" t="n">
        <f aca="false">'Customer Growth'!K17</f>
        <v>4368.97106151968</v>
      </c>
      <c r="F23" s="12" t="n">
        <f aca="false">'Customer Growth'!B17*$D$6/$D$5*(1+Assumptions!$B$14)+IF(A23=4,Assumptions!$B$23,0)</f>
        <v>1213.33333333333</v>
      </c>
      <c r="G23" s="12" t="n">
        <f aca="false">G22*(1-$D$4)+F23</f>
        <v>7144.65023169111</v>
      </c>
    </row>
    <row r="24" customFormat="false" ht="15" hidden="false" customHeight="true" outlineLevel="0" collapsed="false">
      <c r="A24" s="1" t="n">
        <v>15</v>
      </c>
      <c r="B24" s="12" t="n">
        <f aca="false">'Customer Growth'!B18*$B$6/$B$5*(1+Assumptions!$B$14)+IF(A24=4,Assumptions!$B$23,0)</f>
        <v>497.777777777778</v>
      </c>
      <c r="C24" s="12" t="n">
        <f aca="false">C23*(1-$B$4)+B24</f>
        <v>2973.64423376624</v>
      </c>
      <c r="D24" s="12" t="n">
        <f aca="false">'Customer Growth'!G18</f>
        <v>777.777777777778</v>
      </c>
      <c r="E24" s="12" t="n">
        <f aca="false">'Customer Growth'!K18</f>
        <v>4891.16403219855</v>
      </c>
      <c r="F24" s="12" t="n">
        <f aca="false">'Customer Growth'!B18*$D$6/$D$5*(1+Assumptions!$B$14)+IF(A24=4,Assumptions!$B$23,0)</f>
        <v>1213.33333333333</v>
      </c>
      <c r="G24" s="12" t="n">
        <f aca="false">G23*(1-$D$4)+F24</f>
        <v>8036.47430459834</v>
      </c>
    </row>
    <row r="25" customFormat="false" ht="15" hidden="false" customHeight="true" outlineLevel="0" collapsed="false">
      <c r="A25" s="1" t="n">
        <v>16</v>
      </c>
      <c r="B25" s="12" t="n">
        <f aca="false">'Customer Growth'!B19*$B$6/$B$5*(1+Assumptions!$B$14)+IF(A25=4,Assumptions!$B$23,0)</f>
        <v>497.777777777778</v>
      </c>
      <c r="C25" s="12" t="n">
        <f aca="false">C24*(1-$B$4)+B25</f>
        <v>3248.39869401155</v>
      </c>
      <c r="D25" s="12" t="n">
        <f aca="false">'Customer Growth'!G19</f>
        <v>777.777777777778</v>
      </c>
      <c r="E25" s="12" t="n">
        <f aca="false">'Customer Growth'!K19</f>
        <v>5385.25429610882</v>
      </c>
      <c r="F25" s="12" t="n">
        <f aca="false">'Customer Growth'!B19*$D$6/$D$5*(1+Assumptions!$B$14)+IF(A25=4,Assumptions!$B$23,0)</f>
        <v>1213.33333333333</v>
      </c>
      <c r="G25" s="12" t="n">
        <f aca="false">G24*(1-$D$4)+F25</f>
        <v>8888.16629422475</v>
      </c>
    </row>
    <row r="26" customFormat="false" ht="15" hidden="false" customHeight="true" outlineLevel="0" collapsed="false">
      <c r="A26" s="1" t="n">
        <v>17</v>
      </c>
      <c r="B26" s="12" t="n">
        <f aca="false">'Customer Growth'!B20*$B$6/$B$5*(1+Assumptions!$B$14)+IF(A26=4,Assumptions!$B$23,0)</f>
        <v>497.777777777778</v>
      </c>
      <c r="C26" s="12" t="n">
        <f aca="false">C25*(1-$B$4)+B26</f>
        <v>3502.54656973846</v>
      </c>
      <c r="D26" s="12" t="n">
        <f aca="false">'Customer Growth'!G20</f>
        <v>777.777777777778</v>
      </c>
      <c r="E26" s="12" t="n">
        <f aca="false">'Customer Growth'!K20</f>
        <v>5853.37995186034</v>
      </c>
      <c r="F26" s="12" t="n">
        <f aca="false">'Customer Growth'!B20*$D$6/$D$5*(1+Assumptions!$B$14)+IF(A26=4,Assumptions!$B$23,0)</f>
        <v>1213.33333333333</v>
      </c>
      <c r="G26" s="12" t="n">
        <f aca="false">G25*(1-$D$4)+F26</f>
        <v>9701.53214431797</v>
      </c>
    </row>
    <row r="27" customFormat="false" ht="15" hidden="false" customHeight="true" outlineLevel="0" collapsed="false">
      <c r="A27" s="1" t="n">
        <v>18</v>
      </c>
      <c r="B27" s="12" t="n">
        <f aca="false">'Customer Growth'!B21*$B$6/$B$5*(1+Assumptions!$B$14)+IF(A27=4,Assumptions!$B$23,0)</f>
        <v>497.777777777778</v>
      </c>
      <c r="C27" s="12" t="n">
        <f aca="false">C26*(1-$B$4)+B27</f>
        <v>3737.63335478586</v>
      </c>
      <c r="D27" s="12" t="n">
        <f aca="false">'Customer Growth'!G21</f>
        <v>777.777777777778</v>
      </c>
      <c r="E27" s="12" t="n">
        <f aca="false">'Customer Growth'!K21</f>
        <v>6297.51507238208</v>
      </c>
      <c r="F27" s="12" t="n">
        <f aca="false">'Customer Growth'!B21*$D$6/$D$5*(1+Assumptions!$B$14)+IF(A27=4,Assumptions!$B$23,0)</f>
        <v>1213.33333333333</v>
      </c>
      <c r="G27" s="12" t="n">
        <f aca="false">G26*(1-$D$4)+F27</f>
        <v>10478.296531157</v>
      </c>
    </row>
    <row r="28" customFormat="false" ht="15" hidden="false" customHeight="true" outlineLevel="0" collapsed="false">
      <c r="A28" s="1" t="n">
        <v>19</v>
      </c>
      <c r="B28" s="12" t="n">
        <f aca="false">'Customer Growth'!B22*$B$6/$B$5*(1+Assumptions!$B$14)+IF(A28=4,Assumptions!$B$23,0)</f>
        <v>497.777777777778</v>
      </c>
      <c r="C28" s="12" t="n">
        <f aca="false">C27*(1-$B$4)+B28</f>
        <v>3955.0886309547</v>
      </c>
      <c r="D28" s="12" t="n">
        <f aca="false">'Customer Growth'!G22</f>
        <v>777.777777777778</v>
      </c>
      <c r="E28" s="12" t="n">
        <f aca="false">'Customer Growth'!K22</f>
        <v>6719.48324857027</v>
      </c>
      <c r="F28" s="12" t="n">
        <f aca="false">'Customer Growth'!B22*$D$6/$D$5*(1+Assumptions!$B$14)+IF(A28=4,Assumptions!$B$23,0)</f>
        <v>1213.33333333333</v>
      </c>
      <c r="G28" s="12" t="n">
        <f aca="false">G27*(1-$D$4)+F28</f>
        <v>11220.1065205883</v>
      </c>
    </row>
    <row r="29" customFormat="false" ht="15" hidden="false" customHeight="true" outlineLevel="0" collapsed="false">
      <c r="A29" s="1" t="n">
        <v>20</v>
      </c>
      <c r="B29" s="12" t="n">
        <f aca="false">'Customer Growth'!B23*$B$6/$B$5*(1+Assumptions!$B$14)+IF(A29=4,Assumptions!$B$23,0)</f>
        <v>497.777777777778</v>
      </c>
      <c r="C29" s="12" t="n">
        <f aca="false">C28*(1-$B$4)+B29</f>
        <v>4156.23476141087</v>
      </c>
      <c r="D29" s="12" t="n">
        <f aca="false">'Customer Growth'!G23</f>
        <v>777.777777777778</v>
      </c>
      <c r="E29" s="12" t="n">
        <f aca="false">'Customer Growth'!K23</f>
        <v>7120.96996442811</v>
      </c>
      <c r="F29" s="12" t="n">
        <f aca="false">'Customer Growth'!B23*$D$6/$D$5*(1+Assumptions!$B$14)+IF(A29=4,Assumptions!$B$23,0)</f>
        <v>1213.33333333333</v>
      </c>
      <c r="G29" s="12" t="n">
        <f aca="false">G28*(1-$D$4)+F29</f>
        <v>11928.5350604951</v>
      </c>
    </row>
    <row r="30" customFormat="false" ht="15" hidden="false" customHeight="true" outlineLevel="0" collapsed="false">
      <c r="A30" s="1" t="n">
        <v>21</v>
      </c>
      <c r="B30" s="12" t="n">
        <f aca="false">'Customer Growth'!B24*$B$6/$B$5*(1+Assumptions!$B$14)+IF(A30=4,Assumptions!$B$23,0)</f>
        <v>497.777777777778</v>
      </c>
      <c r="C30" s="12" t="n">
        <f aca="false">C29*(1-$B$4)+B30</f>
        <v>4342.29493208284</v>
      </c>
      <c r="D30" s="12" t="n">
        <f aca="false">'Customer Growth'!G24</f>
        <v>777.777777777778</v>
      </c>
      <c r="E30" s="12" t="n">
        <f aca="false">'Customer Growth'!K24</f>
        <v>7503.53390918013</v>
      </c>
      <c r="F30" s="12" t="n">
        <f aca="false">'Customer Growth'!B24*$D$6/$D$5*(1+Assumptions!$B$14)+IF(A30=4,Assumptions!$B$23,0)</f>
        <v>1213.33333333333</v>
      </c>
      <c r="G30" s="12" t="n">
        <f aca="false">G29*(1-$D$4)+F30</f>
        <v>12605.0843161062</v>
      </c>
    </row>
    <row r="31" customFormat="false" ht="15" hidden="false" customHeight="true" outlineLevel="0" collapsed="false">
      <c r="A31" s="1" t="n">
        <v>22</v>
      </c>
      <c r="B31" s="12" t="n">
        <f aca="false">'Customer Growth'!B25*$B$6/$B$5*(1+Assumptions!$B$14)+IF(A31=4,Assumptions!$B$23,0)</f>
        <v>497.777777777778</v>
      </c>
      <c r="C31" s="12" t="n">
        <f aca="false">C30*(1-$B$4)+B31</f>
        <v>4514.4005899544</v>
      </c>
      <c r="D31" s="12" t="n">
        <f aca="false">'Customer Growth'!G25</f>
        <v>777.777777777778</v>
      </c>
      <c r="E31" s="12" t="n">
        <f aca="false">'Customer Growth'!K25</f>
        <v>7868.617321953</v>
      </c>
      <c r="F31" s="12" t="n">
        <f aca="false">'Customer Growth'!B25*$D$6/$D$5*(1+Assumptions!$B$14)+IF(A31=4,Assumptions!$B$23,0)</f>
        <v>1213.33333333333</v>
      </c>
      <c r="G31" s="12" t="n">
        <f aca="false">G30*(1-$D$4)+F31</f>
        <v>13251.1888552147</v>
      </c>
    </row>
    <row r="32" customFormat="false" ht="15" hidden="false" customHeight="true" outlineLevel="0" collapsed="false">
      <c r="A32" s="1" t="n">
        <v>23</v>
      </c>
      <c r="B32" s="12" t="n">
        <f aca="false">'Customer Growth'!B26*$B$6/$B$5*(1+Assumptions!$B$14)+IF(A32=4,Assumptions!$B$23,0)</f>
        <v>497.777777777778</v>
      </c>
      <c r="C32" s="12" t="n">
        <f aca="false">C31*(1-$B$4)+B32</f>
        <v>4673.5983234856</v>
      </c>
      <c r="D32" s="12" t="n">
        <f aca="false">'Customer Growth'!G26</f>
        <v>777.777777777778</v>
      </c>
      <c r="E32" s="12" t="n">
        <f aca="false">'Customer Growth'!K26</f>
        <v>8217.55545568434</v>
      </c>
      <c r="F32" s="12" t="n">
        <f aca="false">'Customer Growth'!B26*$D$6/$D$5*(1+Assumptions!$B$14)+IF(A32=4,Assumptions!$B$23,0)</f>
        <v>1213.33333333333</v>
      </c>
      <c r="G32" s="12" t="n">
        <f aca="false">G31*(1-$D$4)+F32</f>
        <v>13868.2186900634</v>
      </c>
    </row>
    <row r="33" customFormat="false" ht="15" hidden="false" customHeight="true" outlineLevel="0" collapsed="false">
      <c r="A33" s="1" t="n">
        <v>24</v>
      </c>
      <c r="B33" s="12" t="n">
        <f aca="false">'Customer Growth'!B27*$B$6/$B$5*(1+Assumptions!$B$14)+IF(A33=4,Assumptions!$B$23,0)</f>
        <v>497.777777777778</v>
      </c>
      <c r="C33" s="12" t="n">
        <f aca="false">C32*(1-$B$4)+B33</f>
        <v>4820.85622700196</v>
      </c>
      <c r="D33" s="12" t="n">
        <f aca="false">'Customer Growth'!G27</f>
        <v>777.777777777778</v>
      </c>
      <c r="E33" s="12" t="n">
        <f aca="false">'Customer Growth'!K27</f>
        <v>8551.58523885516</v>
      </c>
      <c r="F33" s="12" t="n">
        <f aca="false">'Customer Growth'!B27*$D$6/$D$5*(1+Assumptions!$B$14)+IF(A33=4,Assumptions!$B$23,0)</f>
        <v>1213.33333333333</v>
      </c>
      <c r="G33" s="12" t="n">
        <f aca="false">G32*(1-$D$4)+F33</f>
        <v>14457.4821823439</v>
      </c>
    </row>
    <row r="34" customFormat="false" ht="15" hidden="false" customHeight="true" outlineLevel="0" collapsed="false">
      <c r="A34" s="1" t="n">
        <v>25</v>
      </c>
      <c r="B34" s="12" t="n">
        <f aca="false">'Customer Growth'!B28*$B$6/$B$5*(1+Assumptions!$B$14)+IF(A34=4,Assumptions!$B$23,0)</f>
        <v>696.888888888889</v>
      </c>
      <c r="C34" s="12" t="n">
        <f aca="false">C33*(1-$B$4)+B34</f>
        <v>5156.1808988657</v>
      </c>
      <c r="D34" s="12" t="n">
        <f aca="false">'Customer Growth'!G28</f>
        <v>1088.88888888889</v>
      </c>
      <c r="E34" s="12" t="n">
        <f aca="false">'Customer Growth'!K28</f>
        <v>9182.9643174653</v>
      </c>
      <c r="F34" s="12" t="n">
        <f aca="false">'Customer Growth'!B28*$D$6/$D$5*(1+Assumptions!$B$14)+IF(A34=4,Assumptions!$B$23,0)</f>
        <v>1698.66666666667</v>
      </c>
      <c r="G34" s="12" t="n">
        <f aca="false">G33*(1-$D$4)+F34</f>
        <v>15505.5621508051</v>
      </c>
    </row>
    <row r="35" customFormat="false" ht="15" hidden="false" customHeight="true" outlineLevel="0" collapsed="false">
      <c r="A35" s="1" t="n">
        <v>26</v>
      </c>
      <c r="B35" s="12" t="n">
        <f aca="false">'Customer Growth'!B29*$B$6/$B$5*(1+Assumptions!$B$14)+IF(A35=4,Assumptions!$B$23,0)</f>
        <v>696.888888888889</v>
      </c>
      <c r="C35" s="12" t="n">
        <f aca="false">C34*(1-$B$4)+B35</f>
        <v>5466.35622033966</v>
      </c>
      <c r="D35" s="12" t="n">
        <f aca="false">'Customer Growth'!G29</f>
        <v>1088.88888888889</v>
      </c>
      <c r="E35" s="12" t="n">
        <f aca="false">'Customer Growth'!K29</f>
        <v>9785.15609752853</v>
      </c>
      <c r="F35" s="12" t="n">
        <f aca="false">'Customer Growth'!B29*$D$6/$D$5*(1+Assumptions!$B$14)+IF(A35=4,Assumptions!$B$23,0)</f>
        <v>1698.66666666667</v>
      </c>
      <c r="G35" s="12" t="n">
        <f aca="false">G34*(1-$D$4)+F35</f>
        <v>16506.4785206855</v>
      </c>
    </row>
    <row r="36" customFormat="false" ht="15" hidden="false" customHeight="true" outlineLevel="0" collapsed="false">
      <c r="A36" s="1" t="n">
        <v>27</v>
      </c>
      <c r="B36" s="12" t="n">
        <f aca="false">'Customer Growth'!B30*$B$6/$B$5*(1+Assumptions!$B$14)+IF(A36=4,Assumptions!$B$23,0)</f>
        <v>696.888888888889</v>
      </c>
      <c r="C36" s="12" t="n">
        <f aca="false">C35*(1-$B$4)+B36</f>
        <v>5753.26839270308</v>
      </c>
      <c r="D36" s="12" t="n">
        <f aca="false">'Customer Growth'!G30</f>
        <v>1088.88888888889</v>
      </c>
      <c r="E36" s="12" t="n">
        <f aca="false">'Customer Growth'!K30</f>
        <v>10360.3242912972</v>
      </c>
      <c r="F36" s="12" t="n">
        <f aca="false">'Customer Growth'!B30*$D$6/$D$5*(1+Assumptions!$B$14)+IF(A36=4,Assumptions!$B$23,0)</f>
        <v>1698.66666666667</v>
      </c>
      <c r="G36" s="12" t="n">
        <f aca="false">G35*(1-$D$4)+F36</f>
        <v>17462.3536539213</v>
      </c>
    </row>
    <row r="37" customFormat="false" ht="15" hidden="false" customHeight="true" outlineLevel="0" collapsed="false">
      <c r="A37" s="1" t="n">
        <v>28</v>
      </c>
      <c r="B37" s="12" t="n">
        <f aca="false">'Customer Growth'!B31*$B$6/$B$5*(1+Assumptions!$B$14)+IF(A37=4,Assumptions!$B$23,0)</f>
        <v>696.888888888889</v>
      </c>
      <c r="C37" s="12" t="n">
        <f aca="false">C36*(1-$B$4)+B37</f>
        <v>6018.66215213923</v>
      </c>
      <c r="D37" s="12" t="n">
        <f aca="false">'Customer Growth'!G31</f>
        <v>1088.88888888889</v>
      </c>
      <c r="E37" s="12" t="n">
        <f aca="false">'Customer Growth'!K31</f>
        <v>10910.4763170386</v>
      </c>
      <c r="F37" s="12" t="n">
        <f aca="false">'Customer Growth'!B31*$D$6/$D$5*(1+Assumptions!$B$14)+IF(A37=4,Assumptions!$B$23,0)</f>
        <v>1698.66666666667</v>
      </c>
      <c r="G37" s="12" t="n">
        <f aca="false">G36*(1-$D$4)+F37</f>
        <v>18375.2144061615</v>
      </c>
    </row>
    <row r="38" customFormat="false" ht="15" hidden="false" customHeight="true" outlineLevel="0" collapsed="false">
      <c r="A38" s="1" t="n">
        <v>29</v>
      </c>
      <c r="B38" s="12" t="n">
        <f aca="false">'Customer Growth'!B32*$B$6/$B$5*(1+Assumptions!$B$14)+IF(A38=4,Assumptions!$B$23,0)</f>
        <v>696.888888888889</v>
      </c>
      <c r="C38" s="12" t="n">
        <f aca="false">C37*(1-$B$4)+B38</f>
        <v>6264.15137961768</v>
      </c>
      <c r="D38" s="12" t="n">
        <f aca="false">'Customer Growth'!G32</f>
        <v>1088.88888888889</v>
      </c>
      <c r="E38" s="12" t="n">
        <f aca="false">'Customer Growth'!K32</f>
        <v>11437.4756756</v>
      </c>
      <c r="F38" s="12" t="n">
        <f aca="false">'Customer Growth'!B32*$D$6/$D$5*(1+Assumptions!$B$14)+IF(A38=4,Assumptions!$B$23,0)</f>
        <v>1698.66666666667</v>
      </c>
      <c r="G38" s="12" t="n">
        <f aca="false">G37*(1-$D$4)+F38</f>
        <v>19246.9964245509</v>
      </c>
    </row>
    <row r="39" customFormat="false" ht="15" hidden="false" customHeight="true" outlineLevel="0" collapsed="false">
      <c r="A39" s="1" t="n">
        <v>30</v>
      </c>
      <c r="B39" s="12" t="n">
        <f aca="false">'Customer Growth'!B33*$B$6/$B$5*(1+Assumptions!$B$14)+IF(A39=4,Assumptions!$B$23,0)</f>
        <v>696.888888888889</v>
      </c>
      <c r="C39" s="12" t="n">
        <f aca="false">C38*(1-$B$4)+B39</f>
        <v>6491.22891503524</v>
      </c>
      <c r="D39" s="12" t="n">
        <f aca="false">'Customer Growth'!G33</f>
        <v>1088.88888888889</v>
      </c>
      <c r="E39" s="12" t="n">
        <f aca="false">'Customer Growth'!K33</f>
        <v>11943.0533050333</v>
      </c>
      <c r="F39" s="12" t="n">
        <f aca="false">'Customer Growth'!B33*$D$6/$D$5*(1+Assumptions!$B$14)+IF(A39=4,Assumptions!$B$23,0)</f>
        <v>1698.66666666667</v>
      </c>
      <c r="G39" s="12" t="n">
        <f aca="false">G38*(1-$D$4)+F39</f>
        <v>20079.5482521128</v>
      </c>
    </row>
    <row r="40" customFormat="false" ht="15" hidden="false" customHeight="true" outlineLevel="0" collapsed="false">
      <c r="A40" s="1" t="n">
        <v>31</v>
      </c>
      <c r="B40" s="12" t="n">
        <f aca="false">'Customer Growth'!B34*$B$6/$B$5*(1+Assumptions!$B$14)+IF(A40=4,Assumptions!$B$23,0)</f>
        <v>696.888888888889</v>
      </c>
      <c r="C40" s="12" t="n">
        <f aca="false">C39*(1-$B$4)+B40</f>
        <v>6701.27563529649</v>
      </c>
      <c r="D40" s="12" t="n">
        <f aca="false">'Customer Growth'!G34</f>
        <v>1088.88888888889</v>
      </c>
      <c r="E40" s="12" t="n">
        <f aca="false">'Customer Growth'!K34</f>
        <v>12428.818002018</v>
      </c>
      <c r="F40" s="12" t="n">
        <f aca="false">'Customer Growth'!B34*$D$6/$D$5*(1+Assumptions!$B$14)+IF(A40=4,Assumptions!$B$23,0)</f>
        <v>1698.66666666667</v>
      </c>
      <c r="G40" s="12" t="n">
        <f aca="false">G39*(1-$D$4)+F40</f>
        <v>20874.6352474344</v>
      </c>
    </row>
    <row r="41" customFormat="false" ht="15" hidden="false" customHeight="true" outlineLevel="0" collapsed="false">
      <c r="A41" s="1" t="n">
        <v>32</v>
      </c>
      <c r="B41" s="12" t="n">
        <f aca="false">'Customer Growth'!B35*$B$6/$B$5*(1+Assumptions!$B$14)+IF(A41=4,Assumptions!$B$23,0)</f>
        <v>696.888888888889</v>
      </c>
      <c r="C41" s="12" t="n">
        <f aca="false">C40*(1-$B$4)+B41</f>
        <v>6895.56885153814</v>
      </c>
      <c r="D41" s="12" t="n">
        <f aca="false">'Customer Growth'!G35</f>
        <v>1088.88888888889</v>
      </c>
      <c r="E41" s="12" t="n">
        <f aca="false">'Customer Growth'!K35</f>
        <v>12896.265990806</v>
      </c>
      <c r="F41" s="12" t="n">
        <f aca="false">'Customer Growth'!B35*$D$6/$D$5*(1+Assumptions!$B$14)+IF(A41=4,Assumptions!$B$23,0)</f>
        <v>1698.66666666667</v>
      </c>
      <c r="G41" s="12" t="n">
        <f aca="false">G40*(1-$D$4)+F41</f>
        <v>21633.9433279665</v>
      </c>
    </row>
    <row r="42" customFormat="false" ht="15" hidden="false" customHeight="true" outlineLevel="0" collapsed="false">
      <c r="A42" s="1" t="n">
        <v>33</v>
      </c>
      <c r="B42" s="12" t="n">
        <f aca="false">'Customer Growth'!B36*$B$6/$B$5*(1+Assumptions!$B$14)+IF(A42=4,Assumptions!$B$23,0)</f>
        <v>696.888888888889</v>
      </c>
      <c r="C42" s="12" t="n">
        <f aca="false">C41*(1-$B$4)+B42</f>
        <v>7075.29007656167</v>
      </c>
      <c r="D42" s="12" t="n">
        <f aca="false">'Customer Growth'!G36</f>
        <v>1088.88888888889</v>
      </c>
      <c r="E42" s="12" t="n">
        <f aca="false">'Customer Growth'!K36</f>
        <v>13340.3415801546</v>
      </c>
      <c r="F42" s="12" t="n">
        <f aca="false">'Customer Growth'!B36*$D$6/$D$5*(1+Assumptions!$B$14)+IF(A42=4,Assumptions!$B$23,0)</f>
        <v>1698.66666666667</v>
      </c>
      <c r="G42" s="12" t="n">
        <f aca="false">G41*(1-$D$4)+F42</f>
        <v>22359.0825448747</v>
      </c>
    </row>
    <row r="43" customFormat="false" ht="15" hidden="false" customHeight="true" outlineLevel="0" collapsed="false">
      <c r="A43" s="1" t="n">
        <v>34</v>
      </c>
      <c r="B43" s="12" t="n">
        <f aca="false">'Customer Growth'!B37*$B$6/$B$5*(1+Assumptions!$B$14)+IF(A43=4,Assumptions!$B$23,0)</f>
        <v>696.888888888889</v>
      </c>
      <c r="C43" s="12" t="n">
        <f aca="false">C42*(1-$B$4)+B43</f>
        <v>7241.53220970843</v>
      </c>
      <c r="D43" s="12" t="n">
        <f aca="false">'Customer Growth'!G37</f>
        <v>1088.88888888889</v>
      </c>
      <c r="E43" s="12" t="n">
        <f aca="false">'Customer Growth'!K37</f>
        <v>13762.2133900357</v>
      </c>
      <c r="F43" s="12" t="n">
        <f aca="false">'Customer Growth'!B37*$D$6/$D$5*(1+Assumptions!$B$14)+IF(A43=4,Assumptions!$B$23,0)</f>
        <v>1698.66666666667</v>
      </c>
      <c r="G43" s="12" t="n">
        <f aca="false">G42*(1-$D$4)+F43</f>
        <v>23051.590497022</v>
      </c>
    </row>
    <row r="44" customFormat="false" ht="15" hidden="false" customHeight="true" outlineLevel="0" collapsed="false">
      <c r="A44" s="1" t="n">
        <v>35</v>
      </c>
      <c r="B44" s="12" t="n">
        <f aca="false">'Customer Growth'!B38*$B$6/$B$5*(1+Assumptions!$B$14)+IF(A44=4,Assumptions!$B$23,0)</f>
        <v>696.888888888889</v>
      </c>
      <c r="C44" s="12" t="n">
        <f aca="false">C43*(1-$B$4)+B44</f>
        <v>7395.30618286919</v>
      </c>
      <c r="D44" s="12" t="n">
        <f aca="false">'Customer Growth'!G38</f>
        <v>1088.88888888889</v>
      </c>
      <c r="E44" s="12" t="n">
        <f aca="false">'Customer Growth'!K38</f>
        <v>14162.9916094228</v>
      </c>
      <c r="F44" s="12" t="n">
        <f aca="false">'Customer Growth'!B38*$D$6/$D$5*(1+Assumptions!$B$14)+IF(A44=4,Assumptions!$B$23,0)</f>
        <v>1698.66666666667</v>
      </c>
      <c r="G44" s="12" t="n">
        <f aca="false">G43*(1-$D$4)+F44</f>
        <v>23712.9355913227</v>
      </c>
    </row>
    <row r="45" customFormat="false" ht="15" hidden="false" customHeight="true" outlineLevel="0" collapsed="false">
      <c r="A45" s="1" t="n">
        <v>36</v>
      </c>
      <c r="B45" s="12" t="n">
        <f aca="false">'Customer Growth'!B39*$B$6/$B$5*(1+Assumptions!$B$14)+IF(A45=4,Assumptions!$B$23,0)</f>
        <v>696.888888888889</v>
      </c>
      <c r="C45" s="12" t="n">
        <f aca="false">C44*(1-$B$4)+B45</f>
        <v>7537.54710804289</v>
      </c>
      <c r="D45" s="12" t="n">
        <f aca="false">'Customer Growth'!G39</f>
        <v>1088.88888888889</v>
      </c>
      <c r="E45" s="12" t="n">
        <f aca="false">'Customer Growth'!K39</f>
        <v>14543.7309178406</v>
      </c>
      <c r="F45" s="12" t="n">
        <f aca="false">'Customer Growth'!B39*$D$6/$D$5*(1+Assumptions!$B$14)+IF(A45=4,Assumptions!$B$23,0)</f>
        <v>1698.66666666667</v>
      </c>
      <c r="G45" s="12" t="n">
        <f aca="false">G44*(1-$D$4)+F45</f>
        <v>24344.5201563798</v>
      </c>
    </row>
    <row r="47" customFormat="false" ht="15" hidden="false" customHeight="true" outlineLevel="0" collapsed="false">
      <c r="A47" s="11" t="s">
        <v>269</v>
      </c>
      <c r="B47" s="11" t="s">
        <v>256</v>
      </c>
      <c r="C47" s="11" t="s">
        <v>257</v>
      </c>
      <c r="D47" s="11" t="s">
        <v>258</v>
      </c>
    </row>
    <row r="48" customFormat="false" ht="15" hidden="false" customHeight="true" outlineLevel="0" collapsed="false">
      <c r="A48" s="12" t="s">
        <v>270</v>
      </c>
      <c r="B48" s="12" t="n">
        <f aca="false">C45</f>
        <v>7537.54710804289</v>
      </c>
      <c r="C48" s="12" t="n">
        <f aca="false">E45</f>
        <v>14543.7309178406</v>
      </c>
      <c r="D48" s="12" t="n">
        <f aca="false">G45</f>
        <v>24344.5201563798</v>
      </c>
    </row>
    <row r="49" customFormat="false" ht="15" hidden="false" customHeight="true" outlineLevel="0" collapsed="false">
      <c r="A49" s="12" t="s">
        <v>271</v>
      </c>
      <c r="B49" s="12" t="n">
        <f aca="false">SUMPRODUCT((C34:C45+C33:C44)/2)*(Assumptions!B6+Assumptions!B7)*$B$7</f>
        <v>62046143.0825466</v>
      </c>
      <c r="C49" s="12" t="n">
        <f aca="false">Revenue!G41</f>
        <v>121628139.765774</v>
      </c>
      <c r="D49" s="12" t="n">
        <f aca="false">SUMPRODUCT((G34:G45+G33:G44)/2)*(Assumptions!B6+Assumptions!B7)*$D$7</f>
        <v>226394158.433623</v>
      </c>
    </row>
    <row r="50" customFormat="false" ht="15" hidden="false" customHeight="true" outlineLevel="0" collapsed="false">
      <c r="A50" s="12" t="s">
        <v>272</v>
      </c>
      <c r="B50" s="12" t="n">
        <f aca="false">B49*0.74-12*(3500000*$B$6+Headcount!D13+720000)</f>
        <v>-37365854.1189155</v>
      </c>
      <c r="C50" s="12" t="n">
        <f aca="false">'Operating Expenses'!D41</f>
        <v>1998779.59383478</v>
      </c>
      <c r="D50" s="12" t="n">
        <f aca="false">D49*0.74-12*(3500000*$D$6+Headcount!D13+720000)</f>
        <v>63251677.2408809</v>
      </c>
    </row>
    <row r="52" customFormat="false" ht="15" hidden="false" customHeight="true" outlineLevel="0" collapsed="false">
      <c r="A52" s="10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5" min="3" style="1" width="16"/>
  </cols>
  <sheetData>
    <row r="1" customFormat="false" ht="15.75" hidden="false" customHeight="true" outlineLevel="0" collapsed="false">
      <c r="A1" s="2" t="s">
        <v>274</v>
      </c>
    </row>
    <row r="3" customFormat="false" ht="15" hidden="false" customHeight="true" outlineLevel="0" collapsed="false">
      <c r="A3" s="11" t="s">
        <v>275</v>
      </c>
      <c r="B3" s="11" t="s">
        <v>276</v>
      </c>
      <c r="C3" s="11" t="s">
        <v>277</v>
      </c>
      <c r="D3" s="11" t="s">
        <v>278</v>
      </c>
      <c r="E3" s="11" t="s">
        <v>279</v>
      </c>
    </row>
    <row r="4" customFormat="false" ht="15" hidden="false" customHeight="true" outlineLevel="0" collapsed="false">
      <c r="A4" s="1" t="s">
        <v>280</v>
      </c>
      <c r="B4" s="1" t="s">
        <v>270</v>
      </c>
      <c r="C4" s="12" t="n">
        <f aca="false">'Customer Growth'!K39</f>
        <v>14543.7309178406</v>
      </c>
      <c r="D4" s="12" t="n">
        <f aca="false">'Customer Growth'!G39/0.075*(1-(1-0.075)^36)*0.85</f>
        <v>11595.2476767241</v>
      </c>
      <c r="E4" s="12" t="n">
        <f aca="false">D4-C4</f>
        <v>-2948.48324111647</v>
      </c>
    </row>
    <row r="5" customFormat="false" ht="15" hidden="false" customHeight="true" outlineLevel="0" collapsed="false">
      <c r="A5" s="1" t="s">
        <v>281</v>
      </c>
      <c r="B5" s="1" t="s">
        <v>270</v>
      </c>
      <c r="C5" s="12" t="n">
        <f aca="false">'Customer Growth'!K39</f>
        <v>14543.7309178406</v>
      </c>
      <c r="D5" s="12" t="n">
        <f aca="false">C5*0.8</f>
        <v>11634.9847342725</v>
      </c>
      <c r="E5" s="12" t="n">
        <f aca="false">D5-C5</f>
        <v>-2908.74618356812</v>
      </c>
    </row>
    <row r="6" customFormat="false" ht="15" hidden="false" customHeight="true" outlineLevel="0" collapsed="false">
      <c r="A6" s="1" t="s">
        <v>282</v>
      </c>
      <c r="B6" s="1" t="s">
        <v>283</v>
      </c>
      <c r="C6" s="12" t="n">
        <f aca="false">'Customer Growth'!D15+'Customer Growth'!E15</f>
        <v>466.666666666667</v>
      </c>
      <c r="D6" s="12" t="n">
        <f aca="false">C6*0.75</f>
        <v>350</v>
      </c>
      <c r="E6" s="12" t="n">
        <f aca="false">D6-C6</f>
        <v>-116.666666666667</v>
      </c>
    </row>
    <row r="7" customFormat="false" ht="15" hidden="false" customHeight="true" outlineLevel="0" collapsed="false">
      <c r="A7" s="1" t="s">
        <v>284</v>
      </c>
      <c r="B7" s="1" t="s">
        <v>271</v>
      </c>
      <c r="C7" s="12" t="n">
        <f aca="false">Revenue!G41</f>
        <v>121628139.765774</v>
      </c>
      <c r="D7" s="12" t="n">
        <f aca="false">C7*0.85</f>
        <v>103383918.800908</v>
      </c>
      <c r="E7" s="12" t="n">
        <f aca="false">D7-C7</f>
        <v>-18244220.9648661</v>
      </c>
    </row>
    <row r="8" customFormat="false" ht="15" hidden="false" customHeight="true" outlineLevel="0" collapsed="false">
      <c r="A8" s="1" t="s">
        <v>285</v>
      </c>
      <c r="B8" s="1" t="s">
        <v>286</v>
      </c>
      <c r="C8" s="18" t="n">
        <f aca="false">'Cost of Revenue'!I39</f>
        <v>0.790629370629371</v>
      </c>
      <c r="D8" s="18" t="n">
        <f aca="false">C8-Assumptions!B16/(Assumptions!B6+Assumptions!B7)</f>
        <v>0.711083916083916</v>
      </c>
      <c r="E8" s="18" t="n">
        <f aca="false">D8-C8</f>
        <v>-0.0795454545454546</v>
      </c>
    </row>
    <row r="9" customFormat="false" ht="15" hidden="false" customHeight="true" outlineLevel="0" collapsed="false">
      <c r="A9" s="1" t="s">
        <v>287</v>
      </c>
      <c r="B9" s="1" t="s">
        <v>288</v>
      </c>
      <c r="C9" s="12" t="n">
        <f aca="false">'Cash Flow'!D44</f>
        <v>78500000</v>
      </c>
      <c r="D9" s="12" t="n">
        <f aca="false">C9*1.17</f>
        <v>91845000</v>
      </c>
      <c r="E9" s="12" t="n">
        <f aca="false">D9-C9</f>
        <v>13345000</v>
      </c>
    </row>
    <row r="10" customFormat="false" ht="15" hidden="false" customHeight="true" outlineLevel="0" collapsed="false">
      <c r="A10" s="1" t="s">
        <v>289</v>
      </c>
      <c r="B10" s="1" t="s">
        <v>290</v>
      </c>
      <c r="C10" s="12" t="n">
        <f aca="false">SUM(Revenue!H4:H39)</f>
        <v>71343470</v>
      </c>
      <c r="D10" s="12" t="n">
        <f aca="false">C10*40/60</f>
        <v>47562313.3333333</v>
      </c>
      <c r="E10" s="12" t="n">
        <f aca="false">D10-C10</f>
        <v>-23781156.6666667</v>
      </c>
    </row>
    <row r="11" customFormat="false" ht="15" hidden="false" customHeight="true" outlineLevel="0" collapsed="false">
      <c r="A11" s="1" t="s">
        <v>291</v>
      </c>
      <c r="B11" s="1" t="s">
        <v>292</v>
      </c>
      <c r="C11" s="12" t="n">
        <f aca="false">Revenue!G41</f>
        <v>121628139.765774</v>
      </c>
      <c r="D11" s="12" t="n">
        <f aca="false">C11*(1-0.025)</f>
        <v>118587436.271629</v>
      </c>
      <c r="E11" s="12" t="n">
        <f aca="false">D11-C11</f>
        <v>-3040703.49414435</v>
      </c>
    </row>
    <row r="13" customFormat="false" ht="15" hidden="false" customHeight="true" outlineLevel="0" collapsed="false">
      <c r="A13" s="14" t="s">
        <v>293</v>
      </c>
    </row>
    <row r="14" customFormat="false" ht="15" hidden="false" customHeight="true" outlineLevel="0" collapsed="false">
      <c r="A14" s="1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20"/>
  </cols>
  <sheetData>
    <row r="1" customFormat="false" ht="15.75" hidden="false" customHeight="true" outlineLevel="0" collapsed="false">
      <c r="A1" s="2" t="s">
        <v>295</v>
      </c>
    </row>
    <row r="3" customFormat="false" ht="15" hidden="false" customHeight="true" outlineLevel="0" collapsed="false">
      <c r="A3" s="11" t="s">
        <v>296</v>
      </c>
      <c r="B3" s="11" t="s">
        <v>297</v>
      </c>
      <c r="C3" s="11" t="s">
        <v>298</v>
      </c>
      <c r="D3" s="11" t="s">
        <v>299</v>
      </c>
      <c r="E3" s="11" t="s">
        <v>300</v>
      </c>
      <c r="F3" s="11" t="s">
        <v>301</v>
      </c>
    </row>
    <row r="4" customFormat="false" ht="15" hidden="false" customHeight="true" outlineLevel="0" collapsed="false">
      <c r="A4" s="1" t="s">
        <v>302</v>
      </c>
      <c r="B4" s="1" t="s">
        <v>303</v>
      </c>
      <c r="C4" s="1" t="s">
        <v>304</v>
      </c>
      <c r="D4" s="1" t="s">
        <v>303</v>
      </c>
      <c r="E4" s="1" t="s">
        <v>305</v>
      </c>
      <c r="F4" s="1" t="s">
        <v>306</v>
      </c>
    </row>
    <row r="5" customFormat="false" ht="15" hidden="false" customHeight="true" outlineLevel="0" collapsed="false">
      <c r="A5" s="1" t="s">
        <v>307</v>
      </c>
      <c r="B5" s="1" t="s">
        <v>308</v>
      </c>
      <c r="C5" s="1" t="s">
        <v>309</v>
      </c>
      <c r="D5" s="1" t="s">
        <v>310</v>
      </c>
      <c r="E5" s="1" t="s">
        <v>311</v>
      </c>
      <c r="F5" s="1" t="s">
        <v>312</v>
      </c>
    </row>
    <row r="6" customFormat="false" ht="15" hidden="false" customHeight="true" outlineLevel="0" collapsed="false">
      <c r="A6" s="1" t="s">
        <v>313</v>
      </c>
      <c r="B6" s="1" t="s">
        <v>314</v>
      </c>
      <c r="C6" s="1" t="s">
        <v>315</v>
      </c>
      <c r="D6" s="1" t="s">
        <v>316</v>
      </c>
      <c r="E6" s="1" t="s">
        <v>317</v>
      </c>
      <c r="F6" s="1" t="s">
        <v>318</v>
      </c>
    </row>
    <row r="7" customFormat="false" ht="15" hidden="false" customHeight="true" outlineLevel="0" collapsed="false">
      <c r="A7" s="1" t="s">
        <v>286</v>
      </c>
      <c r="B7" s="1" t="s">
        <v>319</v>
      </c>
      <c r="C7" s="1" t="s">
        <v>320</v>
      </c>
      <c r="D7" s="1" t="s">
        <v>321</v>
      </c>
      <c r="E7" s="1" t="s">
        <v>322</v>
      </c>
      <c r="F7" s="1" t="s">
        <v>323</v>
      </c>
    </row>
    <row r="8" customFormat="false" ht="15" hidden="false" customHeight="true" outlineLevel="0" collapsed="false">
      <c r="A8" s="1" t="s">
        <v>324</v>
      </c>
      <c r="B8" s="1" t="s">
        <v>325</v>
      </c>
      <c r="C8" s="1" t="s">
        <v>326</v>
      </c>
      <c r="D8" s="1" t="s">
        <v>327</v>
      </c>
      <c r="E8" s="1" t="s">
        <v>328</v>
      </c>
      <c r="F8" s="1" t="s">
        <v>329</v>
      </c>
    </row>
    <row r="9" customFormat="false" ht="15" hidden="false" customHeight="true" outlineLevel="0" collapsed="false">
      <c r="A9" s="1" t="s">
        <v>259</v>
      </c>
      <c r="B9" s="1" t="s">
        <v>330</v>
      </c>
      <c r="C9" s="1" t="s">
        <v>331</v>
      </c>
      <c r="D9" s="1" t="s">
        <v>332</v>
      </c>
      <c r="E9" s="1" t="s">
        <v>333</v>
      </c>
      <c r="F9" s="1" t="s">
        <v>334</v>
      </c>
    </row>
    <row r="10" customFormat="false" ht="15" hidden="false" customHeight="true" outlineLevel="0" collapsed="false">
      <c r="A10" s="1" t="s">
        <v>335</v>
      </c>
      <c r="B10" s="1" t="s">
        <v>336</v>
      </c>
      <c r="C10" s="1" t="s">
        <v>337</v>
      </c>
      <c r="D10" s="1" t="s">
        <v>338</v>
      </c>
      <c r="E10" s="1" t="s">
        <v>339</v>
      </c>
      <c r="F10" s="1" t="s">
        <v>340</v>
      </c>
    </row>
    <row r="11" customFormat="false" ht="15" hidden="false" customHeight="true" outlineLevel="0" collapsed="false">
      <c r="A11" s="1" t="s">
        <v>341</v>
      </c>
      <c r="B11" s="1" t="s">
        <v>342</v>
      </c>
      <c r="C11" s="1" t="s">
        <v>343</v>
      </c>
      <c r="D11" s="1" t="s">
        <v>344</v>
      </c>
      <c r="E11" s="1" t="s">
        <v>345</v>
      </c>
      <c r="F11" s="1" t="s">
        <v>346</v>
      </c>
    </row>
    <row r="12" customFormat="false" ht="15" hidden="false" customHeight="true" outlineLevel="0" collapsed="false">
      <c r="A12" s="1" t="s">
        <v>347</v>
      </c>
      <c r="B12" s="1" t="s">
        <v>348</v>
      </c>
      <c r="C12" s="1" t="s">
        <v>349</v>
      </c>
      <c r="D12" s="1" t="s">
        <v>350</v>
      </c>
      <c r="E12" s="1" t="s">
        <v>351</v>
      </c>
      <c r="F12" s="1" t="s">
        <v>352</v>
      </c>
    </row>
    <row r="13" customFormat="false" ht="15" hidden="false" customHeight="true" outlineLevel="0" collapsed="false">
      <c r="A13" s="1" t="s">
        <v>353</v>
      </c>
      <c r="B13" s="1" t="s">
        <v>354</v>
      </c>
      <c r="C13" s="1" t="s">
        <v>355</v>
      </c>
      <c r="D13" s="1" t="s">
        <v>356</v>
      </c>
      <c r="E13" s="1" t="s">
        <v>357</v>
      </c>
      <c r="F13" s="1" t="s">
        <v>358</v>
      </c>
    </row>
    <row r="14" customFormat="false" ht="15" hidden="false" customHeight="true" outlineLevel="0" collapsed="false">
      <c r="A14" s="1" t="s">
        <v>359</v>
      </c>
      <c r="B14" s="1" t="s">
        <v>360</v>
      </c>
      <c r="C14" s="1" t="s">
        <v>361</v>
      </c>
      <c r="D14" s="1" t="s">
        <v>362</v>
      </c>
      <c r="E14" s="1" t="s">
        <v>363</v>
      </c>
      <c r="F14" s="1" t="s">
        <v>364</v>
      </c>
    </row>
    <row r="15" customFormat="false" ht="15" hidden="false" customHeight="true" outlineLevel="0" collapsed="false">
      <c r="A15" s="1" t="s">
        <v>365</v>
      </c>
      <c r="B15" s="1" t="s">
        <v>366</v>
      </c>
      <c r="C15" s="1" t="s">
        <v>356</v>
      </c>
      <c r="D15" s="1" t="s">
        <v>367</v>
      </c>
      <c r="E15" s="1" t="s">
        <v>368</v>
      </c>
      <c r="F15" s="1" t="s">
        <v>369</v>
      </c>
    </row>
    <row r="16" customFormat="false" ht="15" hidden="false" customHeight="true" outlineLevel="0" collapsed="false">
      <c r="A16" s="1" t="s">
        <v>370</v>
      </c>
      <c r="B16" s="1" t="s">
        <v>371</v>
      </c>
      <c r="C16" s="1" t="s">
        <v>372</v>
      </c>
      <c r="D16" s="1" t="s">
        <v>373</v>
      </c>
      <c r="E16" s="1" t="s">
        <v>374</v>
      </c>
      <c r="F16" s="1" t="s">
        <v>375</v>
      </c>
    </row>
    <row r="18" customFormat="false" ht="15" hidden="false" customHeight="true" outlineLevel="0" collapsed="false">
      <c r="A18" s="10" t="s">
        <v>376</v>
      </c>
    </row>
    <row r="19" customFormat="false" ht="15" hidden="false" customHeight="true" outlineLevel="0" collapsed="false">
      <c r="A19" s="10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0"/>
    <col collapsed="false" customWidth="true" hidden="false" outlineLevel="0" max="5" min="4" style="1" width="22"/>
    <col collapsed="false" customWidth="true" hidden="false" outlineLevel="0" max="6" min="6" style="1" width="24"/>
  </cols>
  <sheetData>
    <row r="1" customFormat="false" ht="15.75" hidden="false" customHeight="true" outlineLevel="0" collapsed="false">
      <c r="A1" s="2" t="s">
        <v>378</v>
      </c>
    </row>
    <row r="3" customFormat="false" ht="15" hidden="false" customHeight="true" outlineLevel="0" collapsed="false">
      <c r="A3" s="11" t="s">
        <v>379</v>
      </c>
      <c r="B3" s="11" t="s">
        <v>380</v>
      </c>
      <c r="C3" s="11" t="s">
        <v>381</v>
      </c>
      <c r="D3" s="11" t="s">
        <v>382</v>
      </c>
      <c r="E3" s="11" t="s">
        <v>383</v>
      </c>
      <c r="F3" s="11" t="s">
        <v>384</v>
      </c>
    </row>
    <row r="4" customFormat="false" ht="27.75" hidden="false" customHeight="true" outlineLevel="0" collapsed="false">
      <c r="A4" s="23" t="s">
        <v>385</v>
      </c>
      <c r="B4" s="23" t="s">
        <v>386</v>
      </c>
      <c r="C4" s="23" t="s">
        <v>387</v>
      </c>
      <c r="D4" s="23" t="s">
        <v>388</v>
      </c>
      <c r="E4" s="23" t="s">
        <v>389</v>
      </c>
      <c r="F4" s="23" t="s">
        <v>390</v>
      </c>
    </row>
    <row r="5" customFormat="false" ht="15" hidden="false" customHeight="true" outlineLevel="0" collapsed="false">
      <c r="A5" s="23" t="s">
        <v>391</v>
      </c>
      <c r="B5" s="23" t="s">
        <v>392</v>
      </c>
      <c r="C5" s="23" t="s">
        <v>367</v>
      </c>
      <c r="D5" s="23" t="s">
        <v>393</v>
      </c>
      <c r="E5" s="23" t="s">
        <v>394</v>
      </c>
      <c r="F5" s="23" t="s">
        <v>395</v>
      </c>
    </row>
    <row r="6" customFormat="false" ht="15" hidden="false" customHeight="true" outlineLevel="0" collapsed="false">
      <c r="A6" s="23" t="s">
        <v>396</v>
      </c>
      <c r="B6" s="23" t="s">
        <v>366</v>
      </c>
      <c r="C6" s="23" t="s">
        <v>397</v>
      </c>
      <c r="D6" s="23" t="s">
        <v>398</v>
      </c>
      <c r="E6" s="23" t="s">
        <v>395</v>
      </c>
      <c r="F6" s="23" t="s">
        <v>399</v>
      </c>
    </row>
    <row r="7" customFormat="false" ht="15" hidden="false" customHeight="true" outlineLevel="0" collapsed="false">
      <c r="A7" s="23" t="s">
        <v>400</v>
      </c>
      <c r="B7" s="23" t="s">
        <v>401</v>
      </c>
      <c r="C7" s="23" t="s">
        <v>402</v>
      </c>
      <c r="D7" s="23" t="s">
        <v>403</v>
      </c>
      <c r="E7" s="23" t="s">
        <v>404</v>
      </c>
      <c r="F7" s="23" t="s">
        <v>405</v>
      </c>
    </row>
    <row r="8" customFormat="false" ht="27.75" hidden="false" customHeight="true" outlineLevel="0" collapsed="false">
      <c r="A8" s="23" t="s">
        <v>406</v>
      </c>
      <c r="B8" s="23" t="s">
        <v>407</v>
      </c>
      <c r="C8" s="23" t="s">
        <v>408</v>
      </c>
      <c r="D8" s="23" t="s">
        <v>409</v>
      </c>
      <c r="E8" s="23" t="s">
        <v>410</v>
      </c>
      <c r="F8" s="23" t="s">
        <v>411</v>
      </c>
    </row>
    <row r="9" customFormat="false" ht="15" hidden="false" customHeight="true" outlineLevel="0" collapsed="false">
      <c r="A9" s="23" t="s">
        <v>412</v>
      </c>
      <c r="B9" s="23" t="s">
        <v>413</v>
      </c>
      <c r="C9" s="23" t="s">
        <v>414</v>
      </c>
      <c r="D9" s="23" t="s">
        <v>415</v>
      </c>
      <c r="E9" s="23" t="s">
        <v>416</v>
      </c>
      <c r="F9" s="23" t="s">
        <v>417</v>
      </c>
    </row>
    <row r="10" customFormat="false" ht="15" hidden="false" customHeight="true" outlineLevel="0" collapsed="false">
      <c r="A10" s="23" t="s">
        <v>418</v>
      </c>
      <c r="B10" s="23" t="s">
        <v>419</v>
      </c>
      <c r="C10" s="23" t="s">
        <v>420</v>
      </c>
      <c r="D10" s="23" t="s">
        <v>421</v>
      </c>
      <c r="E10" s="23" t="s">
        <v>342</v>
      </c>
      <c r="F10" s="23" t="s">
        <v>422</v>
      </c>
    </row>
    <row r="11" customFormat="false" ht="27.75" hidden="false" customHeight="true" outlineLevel="0" collapsed="false">
      <c r="A11" s="23" t="s">
        <v>423</v>
      </c>
      <c r="B11" s="23" t="s">
        <v>420</v>
      </c>
      <c r="C11" s="23" t="s">
        <v>392</v>
      </c>
      <c r="D11" s="23" t="s">
        <v>424</v>
      </c>
      <c r="E11" s="23" t="s">
        <v>425</v>
      </c>
      <c r="F11" s="23" t="s">
        <v>426</v>
      </c>
    </row>
    <row r="12" customFormat="false" ht="27.75" hidden="false" customHeight="true" outlineLevel="0" collapsed="false">
      <c r="A12" s="23" t="s">
        <v>427</v>
      </c>
      <c r="B12" s="23" t="s">
        <v>428</v>
      </c>
      <c r="C12" s="23" t="s">
        <v>429</v>
      </c>
      <c r="D12" s="23" t="s">
        <v>430</v>
      </c>
      <c r="E12" s="23" t="s">
        <v>431</v>
      </c>
      <c r="F12" s="23" t="s">
        <v>432</v>
      </c>
    </row>
    <row r="13" customFormat="false" ht="27.75" hidden="false" customHeight="true" outlineLevel="0" collapsed="false">
      <c r="A13" s="23" t="s">
        <v>433</v>
      </c>
      <c r="B13" s="23" t="s">
        <v>434</v>
      </c>
      <c r="C13" s="23" t="s">
        <v>435</v>
      </c>
      <c r="D13" s="23" t="s">
        <v>436</v>
      </c>
      <c r="E13" s="23" t="s">
        <v>437</v>
      </c>
      <c r="F13" s="23" t="s">
        <v>438</v>
      </c>
    </row>
    <row r="14" customFormat="false" ht="27.75" hidden="false" customHeight="true" outlineLevel="0" collapsed="false">
      <c r="A14" s="23" t="s">
        <v>439</v>
      </c>
      <c r="B14" s="23" t="s">
        <v>440</v>
      </c>
      <c r="C14" s="23" t="s">
        <v>441</v>
      </c>
      <c r="D14" s="23" t="s">
        <v>442</v>
      </c>
      <c r="E14" s="23" t="s">
        <v>443</v>
      </c>
      <c r="F14" s="23" t="s">
        <v>444</v>
      </c>
    </row>
    <row r="15" customFormat="false" ht="27.75" hidden="false" customHeight="true" outlineLevel="0" collapsed="false">
      <c r="A15" s="23" t="s">
        <v>445</v>
      </c>
      <c r="B15" s="23" t="s">
        <v>446</v>
      </c>
      <c r="C15" s="23" t="s">
        <v>447</v>
      </c>
      <c r="D15" s="23" t="s">
        <v>448</v>
      </c>
      <c r="E15" s="23" t="s">
        <v>449</v>
      </c>
      <c r="F15" s="23" t="s">
        <v>450</v>
      </c>
    </row>
    <row r="16" customFormat="false" ht="27.75" hidden="false" customHeight="true" outlineLevel="0" collapsed="false">
      <c r="A16" s="23" t="s">
        <v>451</v>
      </c>
      <c r="B16" s="23" t="s">
        <v>452</v>
      </c>
      <c r="C16" s="23" t="s">
        <v>453</v>
      </c>
      <c r="D16" s="23" t="s">
        <v>454</v>
      </c>
      <c r="E16" s="23" t="s">
        <v>455</v>
      </c>
      <c r="F16" s="23" t="s">
        <v>456</v>
      </c>
    </row>
    <row r="18" customFormat="false" ht="15" hidden="false" customHeight="true" outlineLevel="0" collapsed="false">
      <c r="A18" s="10" t="s">
        <v>457</v>
      </c>
    </row>
    <row r="19" customFormat="false" ht="15" hidden="false" customHeight="true" outlineLevel="0" collapsed="false">
      <c r="A19" s="10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2" t="s">
        <v>459</v>
      </c>
    </row>
    <row r="3" customFormat="false" ht="15" hidden="false" customHeight="true" outlineLevel="0" collapsed="false">
      <c r="A3" s="14" t="s">
        <v>460</v>
      </c>
      <c r="B3" s="16" t="n">
        <f aca="false">'Customer Growth'!K15</f>
        <v>3230.81409187011</v>
      </c>
    </row>
    <row r="4" customFormat="false" ht="15" hidden="false" customHeight="true" outlineLevel="0" collapsed="false">
      <c r="A4" s="14" t="s">
        <v>461</v>
      </c>
      <c r="B4" s="16" t="n">
        <f aca="false">'Customer Growth'!K27</f>
        <v>8551.58523885516</v>
      </c>
    </row>
    <row r="5" customFormat="false" ht="15" hidden="false" customHeight="true" outlineLevel="0" collapsed="false">
      <c r="A5" s="14" t="s">
        <v>462</v>
      </c>
      <c r="B5" s="16" t="n">
        <f aca="false">'Customer Growth'!K39</f>
        <v>14543.7309178406</v>
      </c>
    </row>
    <row r="6" customFormat="false" ht="15" hidden="false" customHeight="true" outlineLevel="0" collapsed="false">
      <c r="A6" s="14" t="s">
        <v>463</v>
      </c>
      <c r="B6" s="16" t="n">
        <f aca="false">Revenue!C41</f>
        <v>14196711.065003</v>
      </c>
    </row>
    <row r="7" customFormat="false" ht="15" hidden="false" customHeight="true" outlineLevel="0" collapsed="false">
      <c r="A7" s="14" t="s">
        <v>464</v>
      </c>
      <c r="B7" s="16" t="n">
        <f aca="false">Revenue!E41</f>
        <v>63435374.0681486</v>
      </c>
    </row>
    <row r="8" customFormat="false" ht="15" hidden="false" customHeight="true" outlineLevel="0" collapsed="false">
      <c r="A8" s="14" t="s">
        <v>465</v>
      </c>
      <c r="B8" s="16" t="n">
        <f aca="false">Revenue!G41</f>
        <v>121628139.765774</v>
      </c>
    </row>
    <row r="9" customFormat="false" ht="15" hidden="false" customHeight="true" outlineLevel="0" collapsed="false">
      <c r="A9" s="14" t="s">
        <v>466</v>
      </c>
      <c r="B9" s="24" t="n">
        <f aca="false">'P&amp;L'!P24</f>
        <v>0.790629370629371</v>
      </c>
    </row>
    <row r="10" customFormat="false" ht="15" hidden="false" customHeight="true" outlineLevel="0" collapsed="false">
      <c r="A10" s="14" t="s">
        <v>467</v>
      </c>
      <c r="B10" s="16" t="n">
        <f aca="false">'Operating Expenses'!B41</f>
        <v>-26004763.2656696</v>
      </c>
    </row>
    <row r="11" customFormat="false" ht="15" hidden="false" customHeight="true" outlineLevel="0" collapsed="false">
      <c r="A11" s="14" t="s">
        <v>468</v>
      </c>
      <c r="B11" s="16" t="n">
        <f aca="false">'Operating Expenses'!C41</f>
        <v>-22295530.124861</v>
      </c>
    </row>
    <row r="12" customFormat="false" ht="15" hidden="false" customHeight="true" outlineLevel="0" collapsed="false">
      <c r="A12" s="14" t="s">
        <v>469</v>
      </c>
      <c r="B12" s="16" t="n">
        <f aca="false">'Operating Expenses'!D41</f>
        <v>1998779.59383478</v>
      </c>
    </row>
    <row r="13" customFormat="false" ht="15" hidden="false" customHeight="true" outlineLevel="0" collapsed="false">
      <c r="A13" s="14" t="s">
        <v>470</v>
      </c>
      <c r="B13" s="16" t="n">
        <f aca="false">'Unit Economics'!B14</f>
        <v>11306</v>
      </c>
    </row>
    <row r="14" customFormat="false" ht="15" hidden="false" customHeight="true" outlineLevel="0" collapsed="false">
      <c r="A14" s="14" t="s">
        <v>260</v>
      </c>
      <c r="B14" s="16" t="n">
        <f aca="false">'Unit Economics'!B15</f>
        <v>3600</v>
      </c>
    </row>
    <row r="15" customFormat="false" ht="15" hidden="false" customHeight="true" outlineLevel="0" collapsed="false">
      <c r="A15" s="14" t="s">
        <v>471</v>
      </c>
      <c r="B15" s="25" t="n">
        <f aca="false">'Unit Economics'!B16</f>
        <v>3.14055555555556</v>
      </c>
    </row>
    <row r="16" customFormat="false" ht="15" hidden="false" customHeight="true" outlineLevel="0" collapsed="false">
      <c r="A16" s="14" t="s">
        <v>248</v>
      </c>
      <c r="B16" s="26" t="n">
        <f aca="false">'Unit Economics'!B17</f>
        <v>5.3069166814081</v>
      </c>
    </row>
    <row r="17" customFormat="false" ht="15" hidden="false" customHeight="true" outlineLevel="0" collapsed="false">
      <c r="A17" s="14" t="s">
        <v>472</v>
      </c>
      <c r="B17" s="16" t="n">
        <f aca="false">'Cash Flow'!D44</f>
        <v>78500000</v>
      </c>
    </row>
    <row r="18" customFormat="false" ht="15" hidden="false" customHeight="true" outlineLevel="0" collapsed="false">
      <c r="A18" s="14" t="s">
        <v>473</v>
      </c>
      <c r="B18" s="16" t="n">
        <f aca="false">'Cash Flow'!B44</f>
        <v>3142309.78096976</v>
      </c>
    </row>
    <row r="19" customFormat="false" ht="15" hidden="false" customHeight="true" outlineLevel="0" collapsed="false">
      <c r="A19" s="14" t="s">
        <v>474</v>
      </c>
      <c r="B19" s="16" t="n">
        <f aca="false">'Cash Flow'!G39</f>
        <v>34677052.8699708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2026-07-28T11:08:24Z</dcterms:created>
  <dc:creator>openpyxl</dc:creator>
  <dc:description/>
  <dc:language>en-US</dc:language>
  <cp:lastModifiedBy/>
  <dcterms:modified xsi:type="dcterms:W3CDTF">2026-07-28T11:10:17Z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